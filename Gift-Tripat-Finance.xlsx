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Income" sheetId="2" state="visible" r:id="rId2"/>
    <sheet xmlns:r="http://schemas.openxmlformats.org/officeDocument/2006/relationships" name="03_Expense" sheetId="3" state="visible" r:id="rId3"/>
    <sheet xmlns:r="http://schemas.openxmlformats.org/officeDocument/2006/relationships" name="04_Team_Budget" sheetId="4" state="visible" r:id="rId4"/>
    <sheet xmlns:r="http://schemas.openxmlformats.org/officeDocument/2006/relationships" name="05_Master_Data" sheetId="5" state="visible" r:id="rId5"/>
    <sheet xmlns:r="http://schemas.openxmlformats.org/officeDocument/2006/relationships" name="06_Income_Report" sheetId="6" state="visible" r:id="rId6"/>
    <sheet xmlns:r="http://schemas.openxmlformats.org/officeDocument/2006/relationships" name="07_Expense_Report" sheetId="7" state="visible" r:id="rId7"/>
    <sheet xmlns:r="http://schemas.openxmlformats.org/officeDocument/2006/relationships" name="08_Refund" sheetId="8" state="visible" r:id="rId8"/>
    <sheet xmlns:r="http://schemas.openxmlformats.org/officeDocument/2006/relationships" name="09_Refund_Report" sheetId="9" state="visible" r:id="rId9"/>
  </sheets>
  <definedNames>
    <definedName name="_xlnm.Print_Titles" localSheetId="0">'01_Dashboard'!$1:$2</definedName>
    <definedName name="_xlnm._FilterDatabase" localSheetId="1" hidden="1">'02_Income'!$A$1:$I$10</definedName>
    <definedName name="_xlnm._FilterDatabase" localSheetId="2" hidden="1">'03_Expense'!$A$1:$L$13</definedName>
    <definedName name="_xlnm._FilterDatabase" localSheetId="7" hidden="1">'08_Refund'!$A$1:$J$6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บาท&quot;"/>
    <numFmt numFmtId="165" formatCode="yyyy-mm-dd"/>
    <numFmt numFmtId="166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1F4E5F"/>
      <sz val="20"/>
    </font>
    <font>
      <name val="Calibri"/>
      <i val="1"/>
      <color rgb="00667085"/>
      <sz val="10"/>
    </font>
    <font>
      <name val="Calibri"/>
      <b val="1"/>
      <color rgb="001F4E5F"/>
      <sz val="13"/>
    </font>
    <font>
      <name val="Calibri"/>
      <b val="1"/>
      <color rgb="00667085"/>
      <sz val="10"/>
    </font>
    <font>
      <name val="Calibri"/>
      <b val="1"/>
      <color rgb="001F4E5F"/>
      <sz val="18"/>
    </font>
    <font>
      <name val="Calibri"/>
      <b val="1"/>
      <color rgb="00FFFFFF"/>
      <sz val="11"/>
    </font>
    <font>
      <name val="Calibri"/>
      <color rgb="001D2433"/>
      <sz val="11"/>
    </font>
    <font>
      <name val="Calibri"/>
      <color rgb="001155CC"/>
      <sz val="11"/>
      <u val="single"/>
    </font>
    <font>
      <name val="Calibri"/>
      <color rgb="001155CC"/>
      <sz val="16"/>
    </font>
  </fonts>
  <fills count="11">
    <fill>
      <patternFill/>
    </fill>
    <fill>
      <patternFill patternType="gray125"/>
    </fill>
    <fill>
      <patternFill patternType="solid">
        <fgColor rgb="00E8F5EE"/>
      </patternFill>
    </fill>
    <fill>
      <patternFill patternType="solid">
        <fgColor rgb="00F8F1DE"/>
      </patternFill>
    </fill>
    <fill>
      <patternFill patternType="solid">
        <fgColor rgb="00FBECEA"/>
      </patternFill>
    </fill>
    <fill>
      <patternFill patternType="solid">
        <fgColor rgb="00EAF3F7"/>
      </patternFill>
    </fill>
    <fill>
      <patternFill patternType="solid">
        <fgColor rgb="001F4E5F"/>
      </patternFill>
    </fill>
    <fill>
      <patternFill patternType="solid">
        <fgColor rgb="00F7F4EE"/>
      </patternFill>
    </fill>
    <fill>
      <patternFill patternType="solid">
        <fgColor rgb="002E7D4F"/>
      </patternFill>
    </fill>
    <fill>
      <patternFill patternType="solid">
        <fgColor rgb="00B85C38"/>
      </patternFill>
    </fill>
    <fill>
      <patternFill patternType="solid">
        <fgColor rgb="002A6F7F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3" fontId="6" fillId="9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 wrapText="1"/>
    </xf>
    <xf numFmtId="166" fontId="7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9" fontId="7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3" fontId="6" fillId="10" borderId="1" applyAlignment="1" pivotButton="0" quotePrefix="0" xfId="0">
      <alignment horizontal="center" vertical="center" wrapText="1"/>
    </xf>
    <xf numFmtId="9" fontId="6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Calibri"/>
        <color rgb="00842029"/>
        <sz val="11"/>
      </font>
      <fill>
        <patternFill patternType="solid">
          <fgColor rgb="00F8D7DA"/>
        </patternFill>
      </fill>
    </dxf>
    <dxf>
      <fill>
        <patternFill patternType="solid">
          <fgColor rgb="00F8F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mock-inc-0001/view" TargetMode="External" Id="rId1"/><Relationship Type="http://schemas.openxmlformats.org/officeDocument/2006/relationships/hyperlink" Target="https://drive.google.com/file/d/mock-inc-0002/view" TargetMode="External" Id="rId2"/><Relationship Type="http://schemas.openxmlformats.org/officeDocument/2006/relationships/hyperlink" Target="https://drive.google.com/file/d/mock-inc-0003/view" TargetMode="External" Id="rId3"/><Relationship Type="http://schemas.openxmlformats.org/officeDocument/2006/relationships/hyperlink" Target="https://drive.google.com/file/d/mock-inc-0004/view" TargetMode="External" Id="rId4"/><Relationship Type="http://schemas.openxmlformats.org/officeDocument/2006/relationships/hyperlink" Target="https://drive.google.com/file/d/mock-inc-0005/view" TargetMode="External" Id="rId5"/><Relationship Type="http://schemas.openxmlformats.org/officeDocument/2006/relationships/hyperlink" Target="https://drive.google.com/file/d/mock-inc-0006/view" TargetMode="External" Id="rId6"/><Relationship Type="http://schemas.openxmlformats.org/officeDocument/2006/relationships/hyperlink" Target="https://drive.google.com/file/d/mock-inc-0007/view" TargetMode="External" Id="rId7"/><Relationship Type="http://schemas.openxmlformats.org/officeDocument/2006/relationships/hyperlink" Target="https://drive.google.com/file/d/mock-inc-0008/view" TargetMode="External" Id="rId8"/><Relationship Type="http://schemas.openxmlformats.org/officeDocument/2006/relationships/hyperlink" Target="https://drive.google.com/file/d/mock-inc-0009/view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mock-pay-0001/view" TargetMode="External" Id="rId1"/><Relationship Type="http://schemas.openxmlformats.org/officeDocument/2006/relationships/hyperlink" Target="https://drive.google.com/file/d/mock-pay-0002/view" TargetMode="External" Id="rId2"/><Relationship Type="http://schemas.openxmlformats.org/officeDocument/2006/relationships/hyperlink" Target="https://drive.google.com/file/d/mock-pay-0003/view" TargetMode="External" Id="rId3"/><Relationship Type="http://schemas.openxmlformats.org/officeDocument/2006/relationships/hyperlink" Target="https://drive.google.com/file/d/mock-pay-0004/view" TargetMode="External" Id="rId4"/><Relationship Type="http://schemas.openxmlformats.org/officeDocument/2006/relationships/hyperlink" Target="https://drive.google.com/file/d/mock-pay-0005/view" TargetMode="External" Id="rId5"/><Relationship Type="http://schemas.openxmlformats.org/officeDocument/2006/relationships/hyperlink" Target="https://drive.google.com/file/d/mock-pay-0006/view" TargetMode="External" Id="rId6"/><Relationship Type="http://schemas.openxmlformats.org/officeDocument/2006/relationships/hyperlink" Target="https://drive.google.com/file/d/mock-pay-0007/view" TargetMode="External" Id="rId7"/><Relationship Type="http://schemas.openxmlformats.org/officeDocument/2006/relationships/hyperlink" Target="https://drive.google.com/file/d/mock-pay-0008/view" TargetMode="External" Id="rId8"/><Relationship Type="http://schemas.openxmlformats.org/officeDocument/2006/relationships/hyperlink" Target="https://drive.google.com/file/d/mock-pay-0009/view" TargetMode="External" Id="rId9"/><Relationship Type="http://schemas.openxmlformats.org/officeDocument/2006/relationships/hyperlink" Target="https://drive.google.com/file/d/mock-pay-0010/view" TargetMode="External" Id="rId10"/><Relationship Type="http://schemas.openxmlformats.org/officeDocument/2006/relationships/hyperlink" Target="https://drive.google.com/file/d/mock-pay-0011/view" TargetMode="External" Id="rId11"/><Relationship Type="http://schemas.openxmlformats.org/officeDocument/2006/relationships/hyperlink" Target="https://drive.google.com/file/d/mock-pay-0012/view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mock-inc-0009/view" TargetMode="External" Id="rId1"/><Relationship Type="http://schemas.openxmlformats.org/officeDocument/2006/relationships/hyperlink" Target="https://drive.google.com/file/d/mock-inc-0008/view" TargetMode="External" Id="rId2"/><Relationship Type="http://schemas.openxmlformats.org/officeDocument/2006/relationships/hyperlink" Target="https://drive.google.com/file/d/mock-inc-0007/view" TargetMode="External" Id="rId3"/><Relationship Type="http://schemas.openxmlformats.org/officeDocument/2006/relationships/hyperlink" Target="https://drive.google.com/file/d/mock-inc-0006/view" TargetMode="External" Id="rId4"/><Relationship Type="http://schemas.openxmlformats.org/officeDocument/2006/relationships/hyperlink" Target="https://drive.google.com/file/d/mock-inc-0005/view" TargetMode="External" Id="rId5"/><Relationship Type="http://schemas.openxmlformats.org/officeDocument/2006/relationships/hyperlink" Target="https://drive.google.com/file/d/mock-inc-0004/view" TargetMode="External" Id="rId6"/><Relationship Type="http://schemas.openxmlformats.org/officeDocument/2006/relationships/hyperlink" Target="https://drive.google.com/file/d/mock-inc-0003/view" TargetMode="External" Id="rId7"/><Relationship Type="http://schemas.openxmlformats.org/officeDocument/2006/relationships/hyperlink" Target="https://drive.google.com/file/d/mock-inc-0002/view" TargetMode="External" Id="rId8"/><Relationship Type="http://schemas.openxmlformats.org/officeDocument/2006/relationships/hyperlink" Target="https://drive.google.com/file/d/mock-inc-0001/view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mock-pay-0012/view" TargetMode="External" Id="rId1"/><Relationship Type="http://schemas.openxmlformats.org/officeDocument/2006/relationships/hyperlink" Target="https://drive.google.com/file/d/mock-pay-0011/view" TargetMode="External" Id="rId2"/><Relationship Type="http://schemas.openxmlformats.org/officeDocument/2006/relationships/hyperlink" Target="https://drive.google.com/file/d/mock-pay-0010/view" TargetMode="External" Id="rId3"/><Relationship Type="http://schemas.openxmlformats.org/officeDocument/2006/relationships/hyperlink" Target="https://drive.google.com/file/d/mock-pay-0009/view" TargetMode="External" Id="rId4"/><Relationship Type="http://schemas.openxmlformats.org/officeDocument/2006/relationships/hyperlink" Target="https://drive.google.com/file/d/mock-pay-0008/view" TargetMode="External" Id="rId5"/><Relationship Type="http://schemas.openxmlformats.org/officeDocument/2006/relationships/hyperlink" Target="https://drive.google.com/file/d/mock-pay-0007/view" TargetMode="External" Id="rId6"/><Relationship Type="http://schemas.openxmlformats.org/officeDocument/2006/relationships/hyperlink" Target="https://drive.google.com/file/d/mock-pay-0006/view" TargetMode="External" Id="rId7"/><Relationship Type="http://schemas.openxmlformats.org/officeDocument/2006/relationships/hyperlink" Target="https://drive.google.com/file/d/mock-pay-0005/view" TargetMode="External" Id="rId8"/><Relationship Type="http://schemas.openxmlformats.org/officeDocument/2006/relationships/hyperlink" Target="https://drive.google.com/file/d/mock-pay-0004/view" TargetMode="External" Id="rId9"/><Relationship Type="http://schemas.openxmlformats.org/officeDocument/2006/relationships/hyperlink" Target="https://drive.google.com/file/d/mock-pay-0003/view" TargetMode="External" Id="rId10"/><Relationship Type="http://schemas.openxmlformats.org/officeDocument/2006/relationships/hyperlink" Target="https://drive.google.com/file/d/mock-pay-0002/view" TargetMode="External" Id="rId11"/><Relationship Type="http://schemas.openxmlformats.org/officeDocument/2006/relationships/hyperlink" Target="https://drive.google.com/file/d/mock-pay-0001/view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mock-ref-0001/view" TargetMode="External" Id="rId1"/><Relationship Type="http://schemas.openxmlformats.org/officeDocument/2006/relationships/hyperlink" Target="https://drive.google.com/file/d/mock-ref-0002/view" TargetMode="External" Id="rId2"/><Relationship Type="http://schemas.openxmlformats.org/officeDocument/2006/relationships/hyperlink" Target="https://drive.google.com/file/d/mock-ref-0003/view" TargetMode="External" Id="rId3"/><Relationship Type="http://schemas.openxmlformats.org/officeDocument/2006/relationships/hyperlink" Target="https://drive.google.com/file/d/mock-ref-0005/view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mock-ref-0005/view" TargetMode="External" Id="rId1"/><Relationship Type="http://schemas.openxmlformats.org/officeDocument/2006/relationships/hyperlink" Target="https://drive.google.com/file/d/mock-ref-0003/view" TargetMode="External" Id="rId2"/><Relationship Type="http://schemas.openxmlformats.org/officeDocument/2006/relationships/hyperlink" Target="https://drive.google.com/file/d/mock-ref-0002/view" TargetMode="External" Id="rId3"/><Relationship Type="http://schemas.openxmlformats.org/officeDocument/2006/relationships/hyperlink" Target="https://drive.google.com/file/d/mock-ref-0001/view" TargetMode="External" Id="rId4"/></Relationships>
</file>

<file path=xl/worksheets/sheet1.xml><?xml version="1.0" encoding="utf-8"?>
<worksheet xmlns="http://schemas.openxmlformats.org/spreadsheetml/2006/main">
  <sheetPr>
    <tabColor rgb="001F4E5F"/>
    <outlinePr summaryBelow="1" summaryRight="1"/>
    <pageSetUpPr fitToPage="1"/>
  </sheetPr>
  <dimension ref="A1:H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งาน Gift โรงเรียนไตรพัฒน์ — เงินกองกลาง</t>
        </is>
      </c>
    </row>
    <row r="2">
      <c r="A2" s="2" t="inlineStr">
        <is>
          <t>Real-time Dashboard  |  ทีมการเงินเป็น Single Source of Truth  |  รายรับ 02_Income  รายจ่าย 03_Expense  คืนเงิน 08_Refund</t>
        </is>
      </c>
    </row>
    <row r="4">
      <c r="A4" s="3" t="inlineStr">
        <is>
          <t>A. Financial Overview</t>
        </is>
      </c>
    </row>
    <row r="5" ht="18" customHeight="1">
      <c r="A5" s="4" t="inlineStr">
        <is>
          <t>TOTAL INCOME</t>
        </is>
      </c>
      <c r="B5" s="5" t="n"/>
      <c r="C5" s="6" t="inlineStr">
        <is>
          <t>TEAM REFUNDS</t>
        </is>
      </c>
      <c r="D5" s="5" t="n"/>
      <c r="E5" s="7" t="inlineStr">
        <is>
          <t>TOTAL EXPENSE</t>
        </is>
      </c>
      <c r="F5" s="5" t="n"/>
      <c r="G5" s="8" t="inlineStr">
        <is>
          <t>CURRENT BALANCE</t>
        </is>
      </c>
      <c r="H5" s="5" t="n"/>
    </row>
    <row r="6" ht="32" customHeight="1">
      <c r="A6" s="9">
        <f>SUM('02_Income'!F2:F1000)</f>
        <v/>
      </c>
      <c r="B6" s="5" t="n"/>
      <c r="C6" s="10">
        <f>SUM('08_Refund'!E2:E1000)</f>
        <v/>
      </c>
      <c r="D6" s="5" t="n"/>
      <c r="E6" s="11">
        <f>SUM('03_Expense'!F2:F1000)</f>
        <v/>
      </c>
      <c r="F6" s="5" t="n"/>
      <c r="G6" s="12">
        <f>A6+C6-E6</f>
        <v/>
      </c>
      <c r="H6" s="5" t="n"/>
    </row>
    <row r="8">
      <c r="A8" s="3" t="inlineStr">
        <is>
          <t>B. Income by Source</t>
        </is>
      </c>
    </row>
    <row r="9">
      <c r="A9" s="13" t="inlineStr">
        <is>
          <t>Source</t>
        </is>
      </c>
      <c r="B9" s="13" t="inlineStr">
        <is>
          <t>Amount</t>
        </is>
      </c>
    </row>
    <row r="10">
      <c r="A10" s="14" t="inlineStr">
        <is>
          <t>PTA Contribution</t>
        </is>
      </c>
      <c r="B10" s="15">
        <f>SUMIF('02_Income'!C:C,A10,'02_Income'!F:F)</f>
        <v/>
      </c>
    </row>
    <row r="11">
      <c r="A11" s="16" t="inlineStr">
        <is>
          <t>Sponsorship</t>
        </is>
      </c>
      <c r="B11" s="17">
        <f>SUMIF('02_Income'!C:C,A11,'02_Income'!F:F)</f>
        <v/>
      </c>
    </row>
    <row r="12">
      <c r="A12" s="14" t="inlineStr">
        <is>
          <t>Workshop Revenue</t>
        </is>
      </c>
      <c r="B12" s="15">
        <f>SUMIF('02_Income'!C:C,A12,'02_Income'!F:F)</f>
        <v/>
      </c>
    </row>
    <row r="13">
      <c r="A13" s="16" t="inlineStr">
        <is>
          <t>Shop Revenue</t>
        </is>
      </c>
      <c r="B13" s="17">
        <f>SUMIF('02_Income'!C:C,A13,'02_Income'!F:F)</f>
        <v/>
      </c>
    </row>
    <row r="14">
      <c r="A14" s="14" t="inlineStr">
        <is>
          <t>Donations</t>
        </is>
      </c>
      <c r="B14" s="15">
        <f>SUMIF('02_Income'!C:C,A14,'02_Income'!F:F)</f>
        <v/>
      </c>
    </row>
    <row r="15">
      <c r="A15" s="16" t="inlineStr">
        <is>
          <t>Auction Proceeds</t>
        </is>
      </c>
      <c r="B15" s="17">
        <f>SUMIF('02_Income'!C:C,A15,'02_Income'!F:F)</f>
        <v/>
      </c>
    </row>
    <row r="16">
      <c r="A16" s="14" t="inlineStr">
        <is>
          <t>Other Income</t>
        </is>
      </c>
      <c r="B16" s="15">
        <f>SUMIF('02_Income'!C:C,A16,'02_Income'!F:F)</f>
        <v/>
      </c>
    </row>
    <row r="17">
      <c r="A17" s="18" t="inlineStr">
        <is>
          <t>TOTAL</t>
        </is>
      </c>
      <c r="B17" s="19">
        <f>SUM(B10:B16)</f>
        <v/>
      </c>
    </row>
    <row r="19">
      <c r="A19" s="3" t="inlineStr">
        <is>
          <t>C. Expense by Team</t>
        </is>
      </c>
      <c r="F19" s="3" t="inlineStr">
        <is>
          <t>D. Expense by Category</t>
        </is>
      </c>
    </row>
    <row r="20">
      <c r="A20" s="13" t="inlineStr">
        <is>
          <t>Team</t>
        </is>
      </c>
      <c r="B20" s="13" t="inlineStr">
        <is>
          <t>Transferred</t>
        </is>
      </c>
      <c r="C20" s="13" t="inlineStr">
        <is>
          <t>Refunded</t>
        </is>
      </c>
      <c r="D20" s="13" t="inlineStr">
        <is>
          <t>Net Spent</t>
        </is>
      </c>
      <c r="F20" s="13" t="inlineStr">
        <is>
          <t>Category</t>
        </is>
      </c>
      <c r="G20" s="13" t="inlineStr">
        <is>
          <t>Amount</t>
        </is>
      </c>
    </row>
    <row r="21">
      <c r="A21" s="16" t="inlineStr">
        <is>
          <t>Gift Team</t>
        </is>
      </c>
      <c r="B21" s="17">
        <f>SUMIF('03_Expense'!C:C,A21,'03_Expense'!F:F)</f>
        <v/>
      </c>
      <c r="C21" s="17">
        <f>SUMIF('08_Refund'!C:C,A21,'08_Refund'!E:E)</f>
        <v/>
      </c>
      <c r="D21" s="17">
        <f>B21-C21</f>
        <v/>
      </c>
      <c r="F21" s="16" t="inlineStr">
        <is>
          <t>Gifts</t>
        </is>
      </c>
      <c r="G21" s="17">
        <f>SUMIF('03_Expense'!D:D,F21,'03_Expense'!F:F)</f>
        <v/>
      </c>
    </row>
    <row r="22">
      <c r="A22" s="14" t="inlineStr">
        <is>
          <t>Shop Team</t>
        </is>
      </c>
      <c r="B22" s="15">
        <f>SUMIF('03_Expense'!C:C,A22,'03_Expense'!F:F)</f>
        <v/>
      </c>
      <c r="C22" s="15">
        <f>SUMIF('08_Refund'!C:C,A22,'08_Refund'!E:E)</f>
        <v/>
      </c>
      <c r="D22" s="15">
        <f>B22-C22</f>
        <v/>
      </c>
      <c r="F22" s="14" t="inlineStr">
        <is>
          <t>Materials</t>
        </is>
      </c>
      <c r="G22" s="15">
        <f>SUMIF('03_Expense'!D:D,F22,'03_Expense'!F:F)</f>
        <v/>
      </c>
    </row>
    <row r="23">
      <c r="A23" s="16" t="inlineStr">
        <is>
          <t>Venue &amp; Safety Team</t>
        </is>
      </c>
      <c r="B23" s="17">
        <f>SUMIF('03_Expense'!C:C,A23,'03_Expense'!F:F)</f>
        <v/>
      </c>
      <c r="C23" s="17">
        <f>SUMIF('08_Refund'!C:C,A23,'08_Refund'!E:E)</f>
        <v/>
      </c>
      <c r="D23" s="17">
        <f>B23-C23</f>
        <v/>
      </c>
      <c r="F23" s="16" t="inlineStr">
        <is>
          <t>Venue</t>
        </is>
      </c>
      <c r="G23" s="17">
        <f>SUMIF('03_Expense'!D:D,F23,'03_Expense'!F:F)</f>
        <v/>
      </c>
    </row>
    <row r="24">
      <c r="A24" s="14" t="inlineStr">
        <is>
          <t>Public Relations Team</t>
        </is>
      </c>
      <c r="B24" s="15">
        <f>SUMIF('03_Expense'!C:C,A24,'03_Expense'!F:F)</f>
        <v/>
      </c>
      <c r="C24" s="15">
        <f>SUMIF('08_Refund'!C:C,A24,'08_Refund'!E:E)</f>
        <v/>
      </c>
      <c r="D24" s="15">
        <f>B24-C24</f>
        <v/>
      </c>
      <c r="F24" s="14" t="inlineStr">
        <is>
          <t>Equipment</t>
        </is>
      </c>
      <c r="G24" s="15">
        <f>SUMIF('03_Expense'!D:D,F24,'03_Expense'!F:F)</f>
        <v/>
      </c>
    </row>
    <row r="25">
      <c r="A25" s="16" t="inlineStr">
        <is>
          <t>Workshop Team</t>
        </is>
      </c>
      <c r="B25" s="17">
        <f>SUMIF('03_Expense'!C:C,A25,'03_Expense'!F:F)</f>
        <v/>
      </c>
      <c r="C25" s="17">
        <f>SUMIF('08_Refund'!C:C,A25,'08_Refund'!E:E)</f>
        <v/>
      </c>
      <c r="D25" s="17">
        <f>B25-C25</f>
        <v/>
      </c>
      <c r="F25" s="16" t="inlineStr">
        <is>
          <t>Safety</t>
        </is>
      </c>
      <c r="G25" s="17">
        <f>SUMIF('03_Expense'!D:D,F25,'03_Expense'!F:F)</f>
        <v/>
      </c>
    </row>
    <row r="26">
      <c r="A26" s="14" t="inlineStr">
        <is>
          <t>Activity Team</t>
        </is>
      </c>
      <c r="B26" s="15">
        <f>SUMIF('03_Expense'!C:C,A26,'03_Expense'!F:F)</f>
        <v/>
      </c>
      <c r="C26" s="15">
        <f>SUMIF('08_Refund'!C:C,A26,'08_Refund'!E:E)</f>
        <v/>
      </c>
      <c r="D26" s="15">
        <f>B26-C26</f>
        <v/>
      </c>
      <c r="F26" s="14" t="inlineStr">
        <is>
          <t>Marketing</t>
        </is>
      </c>
      <c r="G26" s="15">
        <f>SUMIF('03_Expense'!D:D,F26,'03_Expense'!F:F)</f>
        <v/>
      </c>
    </row>
    <row r="27">
      <c r="A27" s="20" t="inlineStr">
        <is>
          <t>TOTAL</t>
        </is>
      </c>
      <c r="B27" s="21">
        <f>SUM(B21:B26)</f>
        <v/>
      </c>
      <c r="C27" s="21">
        <f>SUM(C21:C26)</f>
        <v/>
      </c>
      <c r="D27" s="21">
        <f>SUM(D21:D26)</f>
        <v/>
      </c>
      <c r="F27" s="16" t="inlineStr">
        <is>
          <t>Activities</t>
        </is>
      </c>
      <c r="G27" s="17">
        <f>SUMIF('03_Expense'!D:D,F27,'03_Expense'!F:F)</f>
        <v/>
      </c>
    </row>
    <row r="28">
      <c r="F28" s="14" t="inlineStr">
        <is>
          <t>Other</t>
        </is>
      </c>
      <c r="G28" s="15">
        <f>SUMIF('03_Expense'!D:D,F28,'03_Expense'!F:F)</f>
        <v/>
      </c>
    </row>
    <row r="29">
      <c r="F29" s="20" t="inlineStr">
        <is>
          <t>TOTAL</t>
        </is>
      </c>
      <c r="G29" s="21">
        <f>SUM(G21:G28)</f>
        <v/>
      </c>
    </row>
    <row r="31">
      <c r="A31" s="3" t="inlineStr">
        <is>
          <t>E. Recent Transactions</t>
        </is>
      </c>
    </row>
    <row r="32">
      <c r="A32" s="13" t="inlineStr">
        <is>
          <t>Date</t>
        </is>
      </c>
      <c r="B32" s="13" t="inlineStr">
        <is>
          <t>Team / Source</t>
        </is>
      </c>
      <c r="C32" s="13" t="inlineStr">
        <is>
          <t>Description</t>
        </is>
      </c>
      <c r="D32" s="13" t="inlineStr">
        <is>
          <t>Amount</t>
        </is>
      </c>
    </row>
    <row r="33">
      <c r="A33" s="22" t="n">
        <v>46257</v>
      </c>
      <c r="B33" s="16" t="inlineStr">
        <is>
          <t>Activity Team</t>
        </is>
      </c>
      <c r="C33" s="16" t="inlineStr">
        <is>
          <t>คืนเงินสดเหลือค่าขนส่งอุปกรณ์กิจกรรม</t>
        </is>
      </c>
      <c r="D33" s="17" t="n">
        <v>100</v>
      </c>
    </row>
    <row r="34">
      <c r="A34" s="23" t="n">
        <v>46256</v>
      </c>
      <c r="B34" s="14" t="inlineStr">
        <is>
          <t>Gift Team</t>
        </is>
      </c>
      <c r="C34" s="14" t="inlineStr">
        <is>
          <t>คืนเงินสดเหลือค่าของที่ระลึกผู้บริจาค</t>
        </is>
      </c>
      <c r="D34" s="15" t="n">
        <v>150</v>
      </c>
    </row>
    <row r="35">
      <c r="A35" s="22" t="n">
        <v>46255</v>
      </c>
      <c r="B35" s="16" t="inlineStr">
        <is>
          <t>Public Relations Team</t>
        </is>
      </c>
      <c r="C35" s="16" t="inlineStr">
        <is>
          <t>คืนเงินเหลือค่าพิมพ์โปสเตอร์</t>
        </is>
      </c>
      <c r="D35" s="17" t="n">
        <v>200</v>
      </c>
    </row>
    <row r="36">
      <c r="A36" s="23" t="n">
        <v>46255</v>
      </c>
      <c r="B36" s="14" t="inlineStr">
        <is>
          <t>Shop Team</t>
        </is>
      </c>
      <c r="C36" s="14" t="inlineStr">
        <is>
          <t>คืนเงินเหลือค่าสินค้าบูธร้านค้า</t>
        </is>
      </c>
      <c r="D36" s="15" t="n">
        <v>400</v>
      </c>
    </row>
    <row r="37">
      <c r="A37" s="22" t="n">
        <v>46254</v>
      </c>
      <c r="B37" s="16" t="inlineStr">
        <is>
          <t>Workshop Team</t>
        </is>
      </c>
      <c r="C37" s="16" t="inlineStr">
        <is>
          <t>คืนเงินเหลือค่าวัสดุงานฝีมือ Workshop</t>
        </is>
      </c>
      <c r="D37" s="17" t="n">
        <v>300</v>
      </c>
    </row>
    <row r="38">
      <c r="A38" s="23" t="n">
        <v>46252</v>
      </c>
      <c r="B38" s="14" t="inlineStr">
        <is>
          <t>Workshop Revenue</t>
        </is>
      </c>
      <c r="C38" s="14" t="inlineStr">
        <is>
          <t>รายได้จาก Workshop สติมา Tea (ชาภาวนา)</t>
        </is>
      </c>
      <c r="D38" s="15" t="n">
        <v>2200</v>
      </c>
    </row>
    <row r="39">
      <c r="A39" s="22" t="n">
        <v>46251</v>
      </c>
      <c r="B39" s="16" t="inlineStr">
        <is>
          <t>Workshop Revenue</t>
        </is>
      </c>
      <c r="C39" s="16" t="inlineStr">
        <is>
          <t>รายได้จาก Workshop เย็บสมุด</t>
        </is>
      </c>
      <c r="D39" s="17" t="n">
        <v>1800</v>
      </c>
    </row>
    <row r="40">
      <c r="A40" s="23" t="n">
        <v>46250</v>
      </c>
      <c r="B40" s="14" t="inlineStr">
        <is>
          <t>Public Relations Team</t>
        </is>
      </c>
      <c r="C40" s="14" t="inlineStr">
        <is>
          <t>ค่าออกแบบสื่อออนไลน์</t>
        </is>
      </c>
      <c r="D40" s="15" t="n">
        <v>500</v>
      </c>
    </row>
    <row r="41">
      <c r="A41" s="22" t="n">
        <v>46250</v>
      </c>
      <c r="B41" s="16" t="inlineStr">
        <is>
          <t>Shop Revenue</t>
        </is>
      </c>
      <c r="C41" s="16" t="inlineStr">
        <is>
          <t>รายได้จากบูธร้านค้างาน Gift</t>
        </is>
      </c>
      <c r="D41" s="17" t="n">
        <v>3500</v>
      </c>
    </row>
    <row r="42">
      <c r="A42" s="23" t="n">
        <v>46249</v>
      </c>
      <c r="B42" s="14" t="inlineStr">
        <is>
          <t>Shop Team</t>
        </is>
      </c>
      <c r="C42" s="14" t="inlineStr">
        <is>
          <t>ถุงกระดาษสำหรับขายของ</t>
        </is>
      </c>
      <c r="D42" s="15" t="n">
        <v>700</v>
      </c>
    </row>
    <row r="44">
      <c r="A44" s="2" t="inlineStr">
        <is>
          <t>ตารางนี้เป็นข้อมูลตัวอย่างให้เปิดด้วย Excel ได้ หลังอัปโหลด Google Sheets ให้รันเมนู งาน Gift Finance → สร้างชีตรายงาน เพื่อดึงรายการล่าสุดอัตโนมัติ</t>
        </is>
      </c>
    </row>
    <row r="45">
      <c r="A45" s="3" t="inlineStr">
        <is>
          <t>วิธีใช้งาน</t>
        </is>
      </c>
    </row>
    <row r="46">
      <c r="A46" s="24" t="inlineStr">
        <is>
          <t>1) อัปโหลดไฟล์นี้ขึ้น Google Drive แล้วเปิดด้วย Google Sheets
2) ทีมการเงินบันทึกรายรับที่ 02_Income รายจ่ายที่ 03_Expense และเงินคืนที่ 08_Refund
3) ชีต 01_Dashboard และ 04_Team_Budget คำนวณยอดสุทธิหลังหักคืนอัตโนมัติ
4) อย่าแก้ยอด PAY เดิมเมื่อมีเงินคืน และอย่าบันทึกเงินร้านค้า/ประมูลเป็นคืนเงิน</t>
        </is>
      </c>
    </row>
    <row r="47"/>
    <row r="48"/>
    <row r="49"/>
  </sheetData>
  <mergeCells count="14">
    <mergeCell ref="A4:H4"/>
    <mergeCell ref="A46:H49"/>
    <mergeCell ref="E6:F6"/>
    <mergeCell ref="C6:D6"/>
    <mergeCell ref="A31:D31"/>
    <mergeCell ref="A2:H2"/>
    <mergeCell ref="C5:D5"/>
    <mergeCell ref="A5:B5"/>
    <mergeCell ref="G5:H5"/>
    <mergeCell ref="E5:F5"/>
    <mergeCell ref="A44:H44"/>
    <mergeCell ref="G6:H6"/>
    <mergeCell ref="A1:H1"/>
    <mergeCell ref="A6:B6"/>
  </mergeCells>
  <pageMargins left="0.75" right="0.75" top="1" bottom="1" header="0.5" footer="0.5"/>
  <pageSetup orientation="landscape" fitToHeight="1" fitToWidth="1"/>
  <headerFooter>
    <oddHeader>&amp;Lงาน Gift โรงเรียนไตรพัฒน์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4F"/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48" customWidth="1" min="5" max="5"/>
    <col width="14" customWidth="1" min="6" max="6"/>
    <col width="48" customWidth="1" min="7" max="7"/>
    <col width="16" customWidth="1" min="8" max="8"/>
    <col width="32" customWidth="1" min="9" max="9"/>
  </cols>
  <sheetData>
    <row r="1" ht="24" customHeight="1">
      <c r="A1" s="13" t="inlineStr">
        <is>
          <t>Income ID</t>
        </is>
      </c>
      <c r="B1" s="13" t="inlineStr">
        <is>
          <t>Date</t>
        </is>
      </c>
      <c r="C1" s="13" t="inlineStr">
        <is>
          <t>Income Source</t>
        </is>
      </c>
      <c r="D1" s="13" t="inlineStr">
        <is>
          <t>Workshop Offerings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Evidence URL</t>
        </is>
      </c>
      <c r="H1" s="13" t="inlineStr">
        <is>
          <t>Recorded By</t>
        </is>
      </c>
      <c r="I1" s="13" t="inlineStr">
        <is>
          <t>Remark</t>
        </is>
      </c>
    </row>
    <row r="2">
      <c r="A2" s="25" t="inlineStr">
        <is>
          <t>INC-0001</t>
        </is>
      </c>
      <c r="B2" s="23" t="n">
        <v>46235</v>
      </c>
      <c r="C2" s="14" t="inlineStr">
        <is>
          <t>PTA Contribution</t>
        </is>
      </c>
      <c r="D2" s="26" t="n"/>
      <c r="E2" s="14" t="inlineStr">
        <is>
          <t>เงินสนับสนุน PTA โรงเรียนไตรพัฒน์ สำหรับงาน Gift</t>
        </is>
      </c>
      <c r="F2" s="15" t="n">
        <v>25000</v>
      </c>
      <c r="G2" s="27" t="inlineStr">
        <is>
          <t>https://drive.google.com/file/d/mock-inc-0001/view</t>
        </is>
      </c>
      <c r="H2" s="14" t="inlineStr">
        <is>
          <t>คุณศิริพร</t>
        </is>
      </c>
      <c r="I2" s="14" t="inlineStr">
        <is>
          <t>เงินกองกลางตั้งต้นจาก PTA</t>
        </is>
      </c>
    </row>
    <row r="3">
      <c r="A3" s="28" t="inlineStr">
        <is>
          <t>INC-0002</t>
        </is>
      </c>
      <c r="B3" s="22" t="n">
        <v>46237</v>
      </c>
      <c r="C3" s="16" t="inlineStr">
        <is>
          <t>Sponsorship</t>
        </is>
      </c>
      <c r="D3" s="29" t="n"/>
      <c r="E3" s="16" t="inlineStr">
        <is>
          <t>สปอนเซอร์งาน Gift จากร้านชุมชน ABC</t>
        </is>
      </c>
      <c r="F3" s="17" t="n">
        <v>8000</v>
      </c>
      <c r="G3" s="30" t="inlineStr">
        <is>
          <t>https://drive.google.com/file/d/mock-inc-0002/view</t>
        </is>
      </c>
      <c r="H3" s="16" t="inlineStr">
        <is>
          <t>คุณศิริพร</t>
        </is>
      </c>
      <c r="I3" s="16" t="inlineStr"/>
    </row>
    <row r="4">
      <c r="A4" s="25" t="inlineStr">
        <is>
          <t>INC-0003</t>
        </is>
      </c>
      <c r="B4" s="23" t="n">
        <v>46239</v>
      </c>
      <c r="C4" s="14" t="inlineStr">
        <is>
          <t>Donations</t>
        </is>
      </c>
      <c r="D4" s="26" t="n"/>
      <c r="E4" s="14" t="inlineStr">
        <is>
          <t>เงินบริจาคจากผู้ปกครอง</t>
        </is>
      </c>
      <c r="F4" s="15" t="n">
        <v>3000</v>
      </c>
      <c r="G4" s="27" t="inlineStr">
        <is>
          <t>https://drive.google.com/file/d/mock-inc-0003/view</t>
        </is>
      </c>
      <c r="H4" s="14" t="inlineStr">
        <is>
          <t>คุณศิริพร</t>
        </is>
      </c>
      <c r="I4" s="14" t="inlineStr"/>
    </row>
    <row r="5">
      <c r="A5" s="28" t="inlineStr">
        <is>
          <t>INC-0004</t>
        </is>
      </c>
      <c r="B5" s="22" t="n">
        <v>46244</v>
      </c>
      <c r="C5" s="16" t="inlineStr">
        <is>
          <t>Workshop Revenue</t>
        </is>
      </c>
      <c r="D5" s="29" t="n">
        <v>1</v>
      </c>
      <c r="E5" s="16" t="inlineStr">
        <is>
          <t>รายได้จาก Workshop งานไม้</t>
        </is>
      </c>
      <c r="F5" s="17" t="n">
        <v>4500</v>
      </c>
      <c r="G5" s="30" t="inlineStr">
        <is>
          <t>https://drive.google.com/file/d/mock-inc-0004/view</t>
        </is>
      </c>
      <c r="H5" s="16" t="inlineStr">
        <is>
          <t>คุณศิริพร</t>
        </is>
      </c>
      <c r="I5" s="16" t="inlineStr"/>
    </row>
    <row r="6">
      <c r="A6" s="25" t="inlineStr">
        <is>
          <t>INC-0005</t>
        </is>
      </c>
      <c r="B6" s="23" t="n">
        <v>46246</v>
      </c>
      <c r="C6" s="14" t="inlineStr">
        <is>
          <t>Auction Proceeds</t>
        </is>
      </c>
      <c r="D6" s="26" t="n"/>
      <c r="E6" s="14" t="inlineStr">
        <is>
          <t>รายได้จากการประมูลของที่ระลึก</t>
        </is>
      </c>
      <c r="F6" s="15" t="n">
        <v>6000</v>
      </c>
      <c r="G6" s="27" t="inlineStr">
        <is>
          <t>https://drive.google.com/file/d/mock-inc-0005/view</t>
        </is>
      </c>
      <c r="H6" s="14" t="inlineStr">
        <is>
          <t>คุณศิริพร</t>
        </is>
      </c>
      <c r="I6" s="14" t="inlineStr"/>
    </row>
    <row r="7">
      <c r="A7" s="28" t="inlineStr">
        <is>
          <t>INC-0006</t>
        </is>
      </c>
      <c r="B7" s="22" t="n">
        <v>46249</v>
      </c>
      <c r="C7" s="16" t="inlineStr">
        <is>
          <t>Other Income</t>
        </is>
      </c>
      <c r="D7" s="29" t="n"/>
      <c r="E7" s="16" t="inlineStr">
        <is>
          <t>รายได้อื่น ๆ จากบูธขายน้ำ</t>
        </is>
      </c>
      <c r="F7" s="17" t="n">
        <v>1200</v>
      </c>
      <c r="G7" s="30" t="inlineStr">
        <is>
          <t>https://drive.google.com/file/d/mock-inc-0006/view</t>
        </is>
      </c>
      <c r="H7" s="16" t="inlineStr">
        <is>
          <t>คุณศิริพร</t>
        </is>
      </c>
      <c r="I7" s="16" t="inlineStr"/>
    </row>
    <row r="8">
      <c r="A8" s="25" t="inlineStr">
        <is>
          <t>INC-0007</t>
        </is>
      </c>
      <c r="B8" s="23" t="n">
        <v>46250</v>
      </c>
      <c r="C8" s="14" t="inlineStr">
        <is>
          <t>Shop Revenue</t>
        </is>
      </c>
      <c r="D8" s="26" t="n"/>
      <c r="E8" s="14" t="inlineStr">
        <is>
          <t>รายได้จากบูธร้านค้างาน Gift</t>
        </is>
      </c>
      <c r="F8" s="15" t="n">
        <v>3500</v>
      </c>
      <c r="G8" s="27" t="inlineStr">
        <is>
          <t>https://drive.google.com/file/d/mock-inc-0007/view</t>
        </is>
      </c>
      <c r="H8" s="14" t="inlineStr">
        <is>
          <t>คุณศิริพร</t>
        </is>
      </c>
      <c r="I8" s="14" t="inlineStr">
        <is>
          <t>ยอดขายของที่ระลึกและสินค้าบูธ Shop Team</t>
        </is>
      </c>
    </row>
    <row r="9">
      <c r="A9" s="28" t="inlineStr">
        <is>
          <t>INC-0008</t>
        </is>
      </c>
      <c r="B9" s="22" t="n">
        <v>46251</v>
      </c>
      <c r="C9" s="16" t="inlineStr">
        <is>
          <t>Workshop Revenue</t>
        </is>
      </c>
      <c r="D9" s="29" t="n">
        <v>6</v>
      </c>
      <c r="E9" s="16" t="inlineStr">
        <is>
          <t>รายได้จาก Workshop เย็บสมุด</t>
        </is>
      </c>
      <c r="F9" s="17" t="n">
        <v>1800</v>
      </c>
      <c r="G9" s="30" t="inlineStr">
        <is>
          <t>https://drive.google.com/file/d/mock-inc-0008/view</t>
        </is>
      </c>
      <c r="H9" s="16" t="inlineStr">
        <is>
          <t>คุณศิริพร</t>
        </is>
      </c>
      <c r="I9" s="16" t="inlineStr"/>
    </row>
    <row r="10">
      <c r="A10" s="25" t="inlineStr">
        <is>
          <t>INC-0009</t>
        </is>
      </c>
      <c r="B10" s="23" t="n">
        <v>46252</v>
      </c>
      <c r="C10" s="14" t="inlineStr">
        <is>
          <t>Workshop Revenue</t>
        </is>
      </c>
      <c r="D10" s="26" t="n">
        <v>12</v>
      </c>
      <c r="E10" s="14" t="inlineStr">
        <is>
          <t>รายได้จาก Workshop สติมา Tea (ชาภาวนา)</t>
        </is>
      </c>
      <c r="F10" s="15" t="n">
        <v>2200</v>
      </c>
      <c r="G10" s="27" t="inlineStr">
        <is>
          <t>https://drive.google.com/file/d/mock-inc-0009/view</t>
        </is>
      </c>
      <c r="H10" s="14" t="inlineStr">
        <is>
          <t>คุณณัฐชา</t>
        </is>
      </c>
      <c r="I10" s="14" t="inlineStr"/>
    </row>
  </sheetData>
  <autoFilter ref="A1:I10"/>
  <dataValidations count="3">
    <dataValidation sqref="C2:C200" showDropDown="0" showInputMessage="0" showErrorMessage="0" allowBlank="1" errorTitle="ค่าไม่ถูกต้อง" error="เลือก Income Source จาก Master Data" type="list">
      <formula1>='05_Master_Data'!$A$2:$A$8</formula1>
    </dataValidation>
    <dataValidation sqref="D2:D200" showDropDown="0" showInputMessage="0" showErrorMessage="0" allowBlank="1" errorTitle="ค่าไม่ถูกต้อง" error="เลือก Workshop Offerings จาก Master Data เมื่อแหล่งรายรับเป็น Workshop Revenue" type="list">
      <formula1>='05_Master_Data'!$F$2:$F$20</formula1>
    </dataValidation>
    <dataValidation sqref="H2:H200" showDropDown="0" showInputMessage="0" showErrorMessage="0" allowBlank="1" type="list">
      <formula1>='05_Master_Data'!$E$2:$E$3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5C38"/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0" customWidth="1" min="4" max="4"/>
    <col width="36" customWidth="1" min="5" max="5"/>
    <col width="12" customWidth="1" min="6" max="6"/>
    <col width="20" customWidth="1" min="7" max="7"/>
    <col width="16" customWidth="1" min="8" max="8"/>
    <col width="20" customWidth="1" min="9" max="9"/>
    <col width="48" customWidth="1" min="10" max="10"/>
    <col width="16" customWidth="1" min="11" max="11"/>
    <col width="36" customWidth="1" min="12" max="12"/>
  </cols>
  <sheetData>
    <row r="1" ht="24" customHeight="1">
      <c r="A1" s="13" t="inlineStr">
        <is>
          <t>Payment ID</t>
        </is>
      </c>
      <c r="B1" s="13" t="inlineStr">
        <is>
          <t>Payment Date</t>
        </is>
      </c>
      <c r="C1" s="13" t="inlineStr">
        <is>
          <t>Team</t>
        </is>
      </c>
      <c r="D1" s="13" t="inlineStr">
        <is>
          <t>Expense Category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Recipient / Payee</t>
        </is>
      </c>
      <c r="H1" s="13" t="inlineStr">
        <is>
          <t>Payment Method</t>
        </is>
      </c>
      <c r="I1" s="13" t="inlineStr">
        <is>
          <t>Transfer Reference</t>
        </is>
      </c>
      <c r="J1" s="13" t="inlineStr">
        <is>
          <t>Evidence URL</t>
        </is>
      </c>
      <c r="K1" s="13" t="inlineStr">
        <is>
          <t>Recorded By</t>
        </is>
      </c>
      <c r="L1" s="13" t="inlineStr">
        <is>
          <t>Remark</t>
        </is>
      </c>
    </row>
    <row r="2">
      <c r="A2" s="25" t="inlineStr">
        <is>
          <t>PAY-0001</t>
        </is>
      </c>
      <c r="B2" s="23" t="n">
        <v>46239</v>
      </c>
      <c r="C2" s="14" t="inlineStr">
        <is>
          <t>Gift Team</t>
        </is>
      </c>
      <c r="D2" s="14" t="inlineStr">
        <is>
          <t>Gifts</t>
        </is>
      </c>
      <c r="E2" s="14" t="inlineStr">
        <is>
          <t>ซื้อของรางวัลงาน Gift</t>
        </is>
      </c>
      <c r="F2" s="15" t="n">
        <v>2500</v>
      </c>
      <c r="G2" s="14" t="inlineStr">
        <is>
          <t>นาย A</t>
        </is>
      </c>
      <c r="H2" s="25" t="inlineStr">
        <is>
          <t>Transfer</t>
        </is>
      </c>
      <c r="I2" s="14" t="inlineStr">
        <is>
          <t>TRF-20260805-001</t>
        </is>
      </c>
      <c r="J2" s="27" t="inlineStr">
        <is>
          <t>https://drive.google.com/file/d/mock-pay-0001/view</t>
        </is>
      </c>
      <c r="K2" s="14" t="inlineStr">
        <is>
          <t>คุณศิริพร</t>
        </is>
      </c>
      <c r="L2" s="14" t="inlineStr"/>
    </row>
    <row r="3">
      <c r="A3" s="28" t="inlineStr">
        <is>
          <t>PAY-0002</t>
        </is>
      </c>
      <c r="B3" s="22" t="n">
        <v>46240</v>
      </c>
      <c r="C3" s="16" t="inlineStr">
        <is>
          <t>Workshop Team</t>
        </is>
      </c>
      <c r="D3" s="16" t="inlineStr">
        <is>
          <t>Materials</t>
        </is>
      </c>
      <c r="E3" s="16" t="inlineStr">
        <is>
          <t>วัสดุงานฝีมือ Workshop</t>
        </is>
      </c>
      <c r="F3" s="17" t="n">
        <v>1800</v>
      </c>
      <c r="G3" s="16" t="inlineStr">
        <is>
          <t>ร้าน ABC Craft</t>
        </is>
      </c>
      <c r="H3" s="28" t="inlineStr">
        <is>
          <t>Transfer</t>
        </is>
      </c>
      <c r="I3" s="16" t="inlineStr">
        <is>
          <t>TRF-20260806-001</t>
        </is>
      </c>
      <c r="J3" s="30" t="inlineStr">
        <is>
          <t>https://drive.google.com/file/d/mock-pay-0002/view</t>
        </is>
      </c>
      <c r="K3" s="16" t="inlineStr">
        <is>
          <t>คุณศิริพร</t>
        </is>
      </c>
      <c r="L3" s="16" t="inlineStr"/>
    </row>
    <row r="4">
      <c r="A4" s="25" t="inlineStr">
        <is>
          <t>PAY-0003</t>
        </is>
      </c>
      <c r="B4" s="23" t="n">
        <v>46241</v>
      </c>
      <c r="C4" s="14" t="inlineStr">
        <is>
          <t>Venue &amp; Safety Team</t>
        </is>
      </c>
      <c r="D4" s="14" t="inlineStr">
        <is>
          <t>Equipment</t>
        </is>
      </c>
      <c r="E4" s="14" t="inlineStr">
        <is>
          <t>เช่าเต็นท์สถานที่จัดงาน</t>
        </is>
      </c>
      <c r="F4" s="15" t="n">
        <v>8000</v>
      </c>
      <c r="G4" s="14" t="inlineStr">
        <is>
          <t>ร้าน XYZ Tent</t>
        </is>
      </c>
      <c r="H4" s="25" t="inlineStr">
        <is>
          <t>Transfer</t>
        </is>
      </c>
      <c r="I4" s="14" t="inlineStr">
        <is>
          <t>TRF-20260807-001</t>
        </is>
      </c>
      <c r="J4" s="27" t="inlineStr">
        <is>
          <t>https://drive.google.com/file/d/mock-pay-0003/view</t>
        </is>
      </c>
      <c r="K4" s="14" t="inlineStr">
        <is>
          <t>คุณศิริพร</t>
        </is>
      </c>
      <c r="L4" s="14" t="inlineStr">
        <is>
          <t>ค่าเช่าเต็นท์หลักของงาน</t>
        </is>
      </c>
    </row>
    <row r="5">
      <c r="A5" s="28" t="inlineStr">
        <is>
          <t>PAY-0004</t>
        </is>
      </c>
      <c r="B5" s="22" t="n">
        <v>46242</v>
      </c>
      <c r="C5" s="16" t="inlineStr">
        <is>
          <t>Shop Team</t>
        </is>
      </c>
      <c r="D5" s="16" t="inlineStr">
        <is>
          <t>Materials</t>
        </is>
      </c>
      <c r="E5" s="16" t="inlineStr">
        <is>
          <t>ซื้อสินค้าสำหรับบูธร้านค้า</t>
        </is>
      </c>
      <c r="F5" s="17" t="n">
        <v>3200</v>
      </c>
      <c r="G5" s="16" t="inlineStr">
        <is>
          <t>ร้าน DEF</t>
        </is>
      </c>
      <c r="H5" s="28" t="inlineStr">
        <is>
          <t>Transfer</t>
        </is>
      </c>
      <c r="I5" s="16" t="inlineStr">
        <is>
          <t>TRF-20260808-001</t>
        </is>
      </c>
      <c r="J5" s="30" t="inlineStr">
        <is>
          <t>https://drive.google.com/file/d/mock-pay-0004/view</t>
        </is>
      </c>
      <c r="K5" s="16" t="inlineStr">
        <is>
          <t>คุณศิริพร</t>
        </is>
      </c>
      <c r="L5" s="16" t="inlineStr"/>
    </row>
    <row r="6">
      <c r="A6" s="25" t="inlineStr">
        <is>
          <t>PAY-0005</t>
        </is>
      </c>
      <c r="B6" s="23" t="n">
        <v>46243</v>
      </c>
      <c r="C6" s="14" t="inlineStr">
        <is>
          <t>Public Relations Team</t>
        </is>
      </c>
      <c r="D6" s="14" t="inlineStr">
        <is>
          <t>Marketing</t>
        </is>
      </c>
      <c r="E6" s="14" t="inlineStr">
        <is>
          <t>พิมพ์โปสเตอร์และใบปลิว</t>
        </is>
      </c>
      <c r="F6" s="15" t="n">
        <v>1500</v>
      </c>
      <c r="G6" s="14" t="inlineStr">
        <is>
          <t>โรงพิมพ์ GHI</t>
        </is>
      </c>
      <c r="H6" s="25" t="inlineStr">
        <is>
          <t>Transfer</t>
        </is>
      </c>
      <c r="I6" s="14" t="inlineStr">
        <is>
          <t>TRF-20260809-001</t>
        </is>
      </c>
      <c r="J6" s="27" t="inlineStr">
        <is>
          <t>https://drive.google.com/file/d/mock-pay-0005/view</t>
        </is>
      </c>
      <c r="K6" s="14" t="inlineStr">
        <is>
          <t>คุณศิริพร</t>
        </is>
      </c>
      <c r="L6" s="14" t="inlineStr"/>
    </row>
    <row r="7">
      <c r="A7" s="28" t="inlineStr">
        <is>
          <t>PAY-0006</t>
        </is>
      </c>
      <c r="B7" s="22" t="n">
        <v>46244</v>
      </c>
      <c r="C7" s="16" t="inlineStr">
        <is>
          <t>Activity Team</t>
        </is>
      </c>
      <c r="D7" s="16" t="inlineStr">
        <is>
          <t>Activities</t>
        </is>
      </c>
      <c r="E7" s="16" t="inlineStr">
        <is>
          <t>ค่าอุปกรณ์กิจกรรมเด็ก</t>
        </is>
      </c>
      <c r="F7" s="17" t="n">
        <v>2800</v>
      </c>
      <c r="G7" s="16" t="inlineStr">
        <is>
          <t>ร้าน JKL</t>
        </is>
      </c>
      <c r="H7" s="28" t="inlineStr">
        <is>
          <t>Transfer</t>
        </is>
      </c>
      <c r="I7" s="16" t="inlineStr">
        <is>
          <t>TRF-20260810-001</t>
        </is>
      </c>
      <c r="J7" s="30" t="inlineStr">
        <is>
          <t>https://drive.google.com/file/d/mock-pay-0006/view</t>
        </is>
      </c>
      <c r="K7" s="16" t="inlineStr">
        <is>
          <t>คุณศิริพร</t>
        </is>
      </c>
      <c r="L7" s="16" t="inlineStr"/>
    </row>
    <row r="8">
      <c r="A8" s="25" t="inlineStr">
        <is>
          <t>PAY-0007</t>
        </is>
      </c>
      <c r="B8" s="23" t="n">
        <v>46245</v>
      </c>
      <c r="C8" s="14" t="inlineStr">
        <is>
          <t>Venue &amp; Safety Team</t>
        </is>
      </c>
      <c r="D8" s="14" t="inlineStr">
        <is>
          <t>Safety</t>
        </is>
      </c>
      <c r="E8" s="14" t="inlineStr">
        <is>
          <t>อุปกรณ์ความปลอดภัย</t>
        </is>
      </c>
      <c r="F8" s="15" t="n">
        <v>1200</v>
      </c>
      <c r="G8" s="14" t="inlineStr">
        <is>
          <t>ร้าน Safety Plus</t>
        </is>
      </c>
      <c r="H8" s="25" t="inlineStr">
        <is>
          <t>Transfer</t>
        </is>
      </c>
      <c r="I8" s="14" t="inlineStr">
        <is>
          <t>TRF-20260811-001</t>
        </is>
      </c>
      <c r="J8" s="27" t="inlineStr">
        <is>
          <t>https://drive.google.com/file/d/mock-pay-0007/view</t>
        </is>
      </c>
      <c r="K8" s="14" t="inlineStr">
        <is>
          <t>คุณศิริพร</t>
        </is>
      </c>
      <c r="L8" s="14" t="inlineStr"/>
    </row>
    <row r="9">
      <c r="A9" s="28" t="inlineStr">
        <is>
          <t>PAY-0008</t>
        </is>
      </c>
      <c r="B9" s="22" t="n">
        <v>46246</v>
      </c>
      <c r="C9" s="16" t="inlineStr">
        <is>
          <t>Workshop Team</t>
        </is>
      </c>
      <c r="D9" s="16" t="inlineStr">
        <is>
          <t>Materials</t>
        </is>
      </c>
      <c r="E9" s="16" t="inlineStr">
        <is>
          <t>วัสดุเพิ่มเติม Workshop</t>
        </is>
      </c>
      <c r="F9" s="17" t="n">
        <v>900</v>
      </c>
      <c r="G9" s="16" t="inlineStr">
        <is>
          <t>ร้าน ABC Craft</t>
        </is>
      </c>
      <c r="H9" s="28" t="inlineStr">
        <is>
          <t>Transfer</t>
        </is>
      </c>
      <c r="I9" s="16" t="inlineStr">
        <is>
          <t>TRF-20260812-001</t>
        </is>
      </c>
      <c r="J9" s="30" t="inlineStr">
        <is>
          <t>https://drive.google.com/file/d/mock-pay-0008/view</t>
        </is>
      </c>
      <c r="K9" s="16" t="inlineStr">
        <is>
          <t>คุณศิริพร</t>
        </is>
      </c>
      <c r="L9" s="16" t="inlineStr"/>
    </row>
    <row r="10">
      <c r="A10" s="25" t="inlineStr">
        <is>
          <t>PAY-0009</t>
        </is>
      </c>
      <c r="B10" s="23" t="n">
        <v>46247</v>
      </c>
      <c r="C10" s="14" t="inlineStr">
        <is>
          <t>Gift Team</t>
        </is>
      </c>
      <c r="D10" s="14" t="inlineStr">
        <is>
          <t>Gifts</t>
        </is>
      </c>
      <c r="E10" s="14" t="inlineStr">
        <is>
          <t>ของที่ระลึกผู้บริจาค</t>
        </is>
      </c>
      <c r="F10" s="15" t="n">
        <v>800</v>
      </c>
      <c r="G10" s="14" t="inlineStr">
        <is>
          <t>นางสาว B</t>
        </is>
      </c>
      <c r="H10" s="25" t="inlineStr">
        <is>
          <t>Transfer</t>
        </is>
      </c>
      <c r="I10" s="14" t="inlineStr">
        <is>
          <t>TRF-20260813-001</t>
        </is>
      </c>
      <c r="J10" s="27" t="inlineStr">
        <is>
          <t>https://drive.google.com/file/d/mock-pay-0009/view</t>
        </is>
      </c>
      <c r="K10" s="14" t="inlineStr">
        <is>
          <t>คุณศิริพร</t>
        </is>
      </c>
      <c r="L10" s="14" t="inlineStr"/>
    </row>
    <row r="11">
      <c r="A11" s="28" t="inlineStr">
        <is>
          <t>PAY-0010</t>
        </is>
      </c>
      <c r="B11" s="22" t="n">
        <v>46248</v>
      </c>
      <c r="C11" s="16" t="inlineStr">
        <is>
          <t>Activity Team</t>
        </is>
      </c>
      <c r="D11" s="16" t="inlineStr">
        <is>
          <t>Other</t>
        </is>
      </c>
      <c r="E11" s="16" t="inlineStr">
        <is>
          <t>ค่าขนส่งอุปกรณ์กิจกรรม</t>
        </is>
      </c>
      <c r="F11" s="17" t="n">
        <v>600</v>
      </c>
      <c r="G11" s="16" t="inlineStr">
        <is>
          <t>นาย C</t>
        </is>
      </c>
      <c r="H11" s="28" t="inlineStr">
        <is>
          <t>Cash</t>
        </is>
      </c>
      <c r="I11" s="16" t="inlineStr">
        <is>
          <t>CASH-001</t>
        </is>
      </c>
      <c r="J11" s="30" t="inlineStr">
        <is>
          <t>https://drive.google.com/file/d/mock-pay-0010/view</t>
        </is>
      </c>
      <c r="K11" s="16" t="inlineStr">
        <is>
          <t>คุณศิริพร</t>
        </is>
      </c>
      <c r="L11" s="16" t="inlineStr">
        <is>
          <t>จ่ายสด ค่าขนส่งในวันจัดเตรียมงาน</t>
        </is>
      </c>
    </row>
    <row r="12">
      <c r="A12" s="25" t="inlineStr">
        <is>
          <t>PAY-0011</t>
        </is>
      </c>
      <c r="B12" s="23" t="n">
        <v>46249</v>
      </c>
      <c r="C12" s="14" t="inlineStr">
        <is>
          <t>Shop Team</t>
        </is>
      </c>
      <c r="D12" s="14" t="inlineStr">
        <is>
          <t>Other</t>
        </is>
      </c>
      <c r="E12" s="14" t="inlineStr">
        <is>
          <t>ถุงกระดาษสำหรับขายของ</t>
        </is>
      </c>
      <c r="F12" s="15" t="n">
        <v>700</v>
      </c>
      <c r="G12" s="14" t="inlineStr">
        <is>
          <t>ร้าน Packaging</t>
        </is>
      </c>
      <c r="H12" s="25" t="inlineStr">
        <is>
          <t>Transfer</t>
        </is>
      </c>
      <c r="I12" s="14" t="inlineStr">
        <is>
          <t>TRF-20260815-001</t>
        </is>
      </c>
      <c r="J12" s="27" t="inlineStr">
        <is>
          <t>https://drive.google.com/file/d/mock-pay-0011/view</t>
        </is>
      </c>
      <c r="K12" s="14" t="inlineStr">
        <is>
          <t>คุณศิริพร</t>
        </is>
      </c>
      <c r="L12" s="14" t="inlineStr"/>
    </row>
    <row r="13">
      <c r="A13" s="28" t="inlineStr">
        <is>
          <t>PAY-0012</t>
        </is>
      </c>
      <c r="B13" s="22" t="n">
        <v>46250</v>
      </c>
      <c r="C13" s="16" t="inlineStr">
        <is>
          <t>Public Relations Team</t>
        </is>
      </c>
      <c r="D13" s="16" t="inlineStr">
        <is>
          <t>Marketing</t>
        </is>
      </c>
      <c r="E13" s="16" t="inlineStr">
        <is>
          <t>ค่าออกแบบสื่อออนไลน์</t>
        </is>
      </c>
      <c r="F13" s="17" t="n">
        <v>500</v>
      </c>
      <c r="G13" s="16" t="inlineStr">
        <is>
          <t>นาย D Designer</t>
        </is>
      </c>
      <c r="H13" s="28" t="inlineStr">
        <is>
          <t>PromptPay</t>
        </is>
      </c>
      <c r="I13" s="16" t="inlineStr">
        <is>
          <t>PP-20260816-001</t>
        </is>
      </c>
      <c r="J13" s="30" t="inlineStr">
        <is>
          <t>https://drive.google.com/file/d/mock-pay-0012/view</t>
        </is>
      </c>
      <c r="K13" s="16" t="inlineStr">
        <is>
          <t>คุณศิริพร</t>
        </is>
      </c>
      <c r="L13" s="16" t="inlineStr"/>
    </row>
  </sheetData>
  <autoFilter ref="A1:L13"/>
  <dataValidations count="4">
    <dataValidation sqref="C2:C500" showDropDown="0" showInputMessage="0" showErrorMessage="0" allowBlank="1" type="list">
      <formula1>='05_Master_Data'!$B$2:$B$7</formula1>
    </dataValidation>
    <dataValidation sqref="D2:D500" showDropDown="0" showInputMessage="0" showErrorMessage="0" allowBlank="1" type="list">
      <formula1>='05_Master_Data'!$C$2:$C$9</formula1>
    </dataValidation>
    <dataValidation sqref="H2:H500" showDropDown="0" showInputMessage="0" showErrorMessage="0" allowBlank="1" type="list">
      <formula1>='05_Master_Data'!$D$2:$D$5</formula1>
    </dataValidation>
    <dataValidation sqref="K2:K500" showDropDown="0" showInputMessage="0" showErrorMessage="0" allowBlank="1" type="list">
      <formula1>='05_Master_Data'!$E$2:$E$3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6F7F"/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" t="inlineStr">
        <is>
          <t>งบประมาณต่อทีม — งาน Gift โรงเรียนไตรพัฒน์</t>
        </is>
      </c>
    </row>
    <row r="2">
      <c r="A2" s="2" t="inlineStr">
        <is>
          <t>Transferred จาก 03_Expense  Refunded จาก 08_Refund  Actual Paid = โอนแล้วหักคืน</t>
        </is>
      </c>
    </row>
    <row r="4">
      <c r="A4" s="13" t="inlineStr">
        <is>
          <t>Team</t>
        </is>
      </c>
      <c r="B4" s="13" t="inlineStr">
        <is>
          <t>Budget Allocation</t>
        </is>
      </c>
      <c r="C4" s="13" t="inlineStr">
        <is>
          <t>Transferred</t>
        </is>
      </c>
      <c r="D4" s="13" t="inlineStr">
        <is>
          <t>Refunded</t>
        </is>
      </c>
      <c r="E4" s="13" t="inlineStr">
        <is>
          <t>Actual Paid</t>
        </is>
      </c>
      <c r="F4" s="13" t="inlineStr">
        <is>
          <t>Remaining</t>
        </is>
      </c>
      <c r="G4" s="13" t="inlineStr">
        <is>
          <t>% Used</t>
        </is>
      </c>
    </row>
    <row r="5">
      <c r="A5" s="16" t="inlineStr">
        <is>
          <t>Gift Team</t>
        </is>
      </c>
      <c r="B5" s="31" t="n">
        <v>4000</v>
      </c>
      <c r="C5" s="31">
        <f>SUMIF('03_Expense'!C:C,A5,'03_Expense'!F:F)</f>
        <v/>
      </c>
      <c r="D5" s="31">
        <f>SUMIF('08_Refund'!C:C,A5,'08_Refund'!E:E)</f>
        <v/>
      </c>
      <c r="E5" s="31">
        <f>C5-D5</f>
        <v/>
      </c>
      <c r="F5" s="31">
        <f>B5-E5</f>
        <v/>
      </c>
      <c r="G5" s="32">
        <f>IF(B5=0,0,E5/B5)</f>
        <v/>
      </c>
    </row>
    <row r="6">
      <c r="A6" s="14" t="inlineStr">
        <is>
          <t>Shop Team</t>
        </is>
      </c>
      <c r="B6" s="33" t="n">
        <v>5000</v>
      </c>
      <c r="C6" s="33">
        <f>SUMIF('03_Expense'!C:C,A6,'03_Expense'!F:F)</f>
        <v/>
      </c>
      <c r="D6" s="33">
        <f>SUMIF('08_Refund'!C:C,A6,'08_Refund'!E:E)</f>
        <v/>
      </c>
      <c r="E6" s="33">
        <f>C6-D6</f>
        <v/>
      </c>
      <c r="F6" s="33">
        <f>B6-E6</f>
        <v/>
      </c>
      <c r="G6" s="34">
        <f>IF(B6=0,0,E6/B6)</f>
        <v/>
      </c>
    </row>
    <row r="7">
      <c r="A7" s="16" t="inlineStr">
        <is>
          <t>Venue &amp; Safety Team</t>
        </is>
      </c>
      <c r="B7" s="31" t="n">
        <v>12000</v>
      </c>
      <c r="C7" s="31">
        <f>SUMIF('03_Expense'!C:C,A7,'03_Expense'!F:F)</f>
        <v/>
      </c>
      <c r="D7" s="31">
        <f>SUMIF('08_Refund'!C:C,A7,'08_Refund'!E:E)</f>
        <v/>
      </c>
      <c r="E7" s="31">
        <f>C7-D7</f>
        <v/>
      </c>
      <c r="F7" s="31">
        <f>B7-E7</f>
        <v/>
      </c>
      <c r="G7" s="32">
        <f>IF(B7=0,0,E7/B7)</f>
        <v/>
      </c>
    </row>
    <row r="8">
      <c r="A8" s="14" t="inlineStr">
        <is>
          <t>Public Relations Team</t>
        </is>
      </c>
      <c r="B8" s="33" t="n">
        <v>2500</v>
      </c>
      <c r="C8" s="33">
        <f>SUMIF('03_Expense'!C:C,A8,'03_Expense'!F:F)</f>
        <v/>
      </c>
      <c r="D8" s="33">
        <f>SUMIF('08_Refund'!C:C,A8,'08_Refund'!E:E)</f>
        <v/>
      </c>
      <c r="E8" s="33">
        <f>C8-D8</f>
        <v/>
      </c>
      <c r="F8" s="33">
        <f>B8-E8</f>
        <v/>
      </c>
      <c r="G8" s="34">
        <f>IF(B8=0,0,E8/B8)</f>
        <v/>
      </c>
    </row>
    <row r="9">
      <c r="A9" s="16" t="inlineStr">
        <is>
          <t>Workshop Team</t>
        </is>
      </c>
      <c r="B9" s="31" t="n">
        <v>4000</v>
      </c>
      <c r="C9" s="31">
        <f>SUMIF('03_Expense'!C:C,A9,'03_Expense'!F:F)</f>
        <v/>
      </c>
      <c r="D9" s="31">
        <f>SUMIF('08_Refund'!C:C,A9,'08_Refund'!E:E)</f>
        <v/>
      </c>
      <c r="E9" s="31">
        <f>C9-D9</f>
        <v/>
      </c>
      <c r="F9" s="31">
        <f>B9-E9</f>
        <v/>
      </c>
      <c r="G9" s="32">
        <f>IF(B9=0,0,E9/B9)</f>
        <v/>
      </c>
    </row>
    <row r="10">
      <c r="A10" s="14" t="inlineStr">
        <is>
          <t>Activity Team</t>
        </is>
      </c>
      <c r="B10" s="33" t="n">
        <v>5000</v>
      </c>
      <c r="C10" s="33">
        <f>SUMIF('03_Expense'!C:C,A10,'03_Expense'!F:F)</f>
        <v/>
      </c>
      <c r="D10" s="33">
        <f>SUMIF('08_Refund'!C:C,A10,'08_Refund'!E:E)</f>
        <v/>
      </c>
      <c r="E10" s="33">
        <f>C10-D10</f>
        <v/>
      </c>
      <c r="F10" s="33">
        <f>B10-E10</f>
        <v/>
      </c>
      <c r="G10" s="34">
        <f>IF(B10=0,0,E10/B10)</f>
        <v/>
      </c>
    </row>
    <row r="11">
      <c r="A11" s="35" t="inlineStr">
        <is>
          <t>TOTAL</t>
        </is>
      </c>
      <c r="B11" s="36">
        <f>SUM(B5:B10)</f>
        <v/>
      </c>
      <c r="C11" s="36">
        <f>SUM(C5:C10)</f>
        <v/>
      </c>
      <c r="D11" s="36">
        <f>SUM(D5:D10)</f>
        <v/>
      </c>
      <c r="E11" s="36">
        <f>SUM(E5:E10)</f>
        <v/>
      </c>
      <c r="F11" s="36">
        <f>SUM(F5:F10)</f>
        <v/>
      </c>
      <c r="G11" s="37">
        <f>IF(B11=0,0,E11/B11)</f>
        <v/>
      </c>
    </row>
    <row r="13">
      <c r="A13" s="2" t="inlineStr">
        <is>
          <t>ถ้ายังไม่มีการกำหนด Budget ต่อทีม ให้เว้นคอลัมน์ Budget Allocation ไว้ แล้วยังใช้ Transferred / Refunded / Actual Paid ตอนปิดงานได้</t>
        </is>
      </c>
    </row>
  </sheetData>
  <mergeCells count="3">
    <mergeCell ref="A13:G13"/>
    <mergeCell ref="A2:G2"/>
    <mergeCell ref="A1:G1"/>
  </mergeCells>
  <conditionalFormatting sqref="F5:F10">
    <cfRule type="expression" priority="1" dxfId="0">
      <formula>F5&lt;0</formula>
    </cfRule>
  </conditionalFormatting>
  <conditionalFormatting sqref="G5:G10">
    <cfRule type="expression" priority="2" dxfId="1">
      <formula>G5&gt;=0.9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A35A"/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8" customWidth="1" min="4" max="4"/>
    <col width="16" customWidth="1" min="5" max="5"/>
    <col width="12" customWidth="1" min="6" max="6"/>
    <col width="56" customWidth="1" min="7" max="7"/>
    <col width="14" customWidth="1" min="8" max="8"/>
    <col width="2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3" t="inlineStr">
        <is>
          <t>Income Source</t>
        </is>
      </c>
      <c r="B1" s="13" t="inlineStr">
        <is>
          <t>Team</t>
        </is>
      </c>
      <c r="C1" s="13" t="inlineStr">
        <is>
          <t>Expense Category</t>
        </is>
      </c>
      <c r="D1" s="13" t="inlineStr">
        <is>
          <t>Payment Method</t>
        </is>
      </c>
      <c r="E1" s="13" t="inlineStr">
        <is>
          <t>Recorded By</t>
        </is>
      </c>
      <c r="F1" s="13" t="inlineStr">
        <is>
          <t>Workshop Offering ID</t>
        </is>
      </c>
      <c r="G1" s="13" t="inlineStr">
        <is>
          <t>Workshop Offering</t>
        </is>
      </c>
      <c r="I1" t="inlineStr">
        <is>
          <t>หมายเหตุ</t>
        </is>
      </c>
    </row>
    <row r="2">
      <c r="A2" s="14" t="inlineStr">
        <is>
          <t>PTA Contribution</t>
        </is>
      </c>
      <c r="B2" s="14" t="inlineStr">
        <is>
          <t>Gift Team</t>
        </is>
      </c>
      <c r="C2" s="14" t="inlineStr">
        <is>
          <t>Gifts</t>
        </is>
      </c>
      <c r="D2" s="14" t="inlineStr">
        <is>
          <t>Transfer</t>
        </is>
      </c>
      <c r="E2" s="14" t="inlineStr">
        <is>
          <t>คุณศิริพร</t>
        </is>
      </c>
      <c r="F2" s="26" t="n">
        <v>1</v>
      </c>
      <c r="G2" s="14" t="inlineStr">
        <is>
          <t>งานไม้</t>
        </is>
      </c>
      <c r="I2" s="38" t="inlineStr">
        <is>
          <t>ชีตนี้เป็นรายการหลัก (dropdown) สำหรับ 02_Income, 03_Expense และ 08_Refund Workshop Offerings อยู่ภายใต้ Workshop Revenue คอลัมน์ F คือ ID ที่บันทึกลง 02_Income คอลัมน์ G คือชื่อที่แสดงในฟอร์ม อย่าลบค่าในรายการถ้ายังมีธุรกรรมที่อ้างอิงอยู่</t>
        </is>
      </c>
    </row>
    <row r="3">
      <c r="A3" s="16" t="inlineStr">
        <is>
          <t>Sponsorship</t>
        </is>
      </c>
      <c r="B3" s="16" t="inlineStr">
        <is>
          <t>Shop Team</t>
        </is>
      </c>
      <c r="C3" s="16" t="inlineStr">
        <is>
          <t>Materials</t>
        </is>
      </c>
      <c r="D3" s="16" t="inlineStr">
        <is>
          <t>PromptPay</t>
        </is>
      </c>
      <c r="E3" s="16" t="inlineStr">
        <is>
          <t>คุณณัฐชา</t>
        </is>
      </c>
      <c r="F3" s="29" t="n">
        <v>2</v>
      </c>
      <c r="G3" s="16" t="inlineStr">
        <is>
          <t>well being: singing bowl, ขันธ์ธิเบต, ice bathing, mobility</t>
        </is>
      </c>
    </row>
    <row r="4">
      <c r="A4" s="14" t="inlineStr">
        <is>
          <t>Workshop Revenue</t>
        </is>
      </c>
      <c r="B4" s="14" t="inlineStr">
        <is>
          <t>Venue &amp; Safety Team</t>
        </is>
      </c>
      <c r="C4" s="14" t="inlineStr">
        <is>
          <t>Venue</t>
        </is>
      </c>
      <c r="D4" s="14" t="inlineStr">
        <is>
          <t>Cash</t>
        </is>
      </c>
      <c r="F4" s="26" t="n">
        <v>3</v>
      </c>
      <c r="G4" s="14" t="inlineStr">
        <is>
          <t>ถ่ายรูปเบื้องต้น</t>
        </is>
      </c>
    </row>
    <row r="5">
      <c r="A5" s="16" t="inlineStr">
        <is>
          <t>Shop Revenue</t>
        </is>
      </c>
      <c r="B5" s="16" t="inlineStr">
        <is>
          <t>Public Relations Team</t>
        </is>
      </c>
      <c r="C5" s="16" t="inlineStr">
        <is>
          <t>Equipment</t>
        </is>
      </c>
      <c r="D5" s="16" t="inlineStr">
        <is>
          <t>Cheque</t>
        </is>
      </c>
      <c r="F5" s="29" t="n">
        <v>4</v>
      </c>
      <c r="G5" s="16" t="inlineStr">
        <is>
          <t>ศิลปะ, basic drawing, chalk board painting</t>
        </is>
      </c>
    </row>
    <row r="6">
      <c r="A6" s="14" t="inlineStr">
        <is>
          <t>Donations</t>
        </is>
      </c>
      <c r="B6" s="14" t="inlineStr">
        <is>
          <t>Workshop Team</t>
        </is>
      </c>
      <c r="C6" s="14" t="inlineStr">
        <is>
          <t>Safety</t>
        </is>
      </c>
      <c r="F6" s="26" t="n">
        <v>5</v>
      </c>
      <c r="G6" s="14" t="inlineStr">
        <is>
          <t>Finance for non finance, Financial literacy</t>
        </is>
      </c>
    </row>
    <row r="7">
      <c r="A7" s="16" t="inlineStr">
        <is>
          <t>Auction Proceeds</t>
        </is>
      </c>
      <c r="B7" s="16" t="inlineStr">
        <is>
          <t>Activity Team</t>
        </is>
      </c>
      <c r="C7" s="16" t="inlineStr">
        <is>
          <t>Marketing</t>
        </is>
      </c>
      <c r="F7" s="29" t="n">
        <v>6</v>
      </c>
      <c r="G7" s="16" t="inlineStr">
        <is>
          <t>เย็บสมุด</t>
        </is>
      </c>
    </row>
    <row r="8">
      <c r="A8" s="14" t="inlineStr">
        <is>
          <t>Other Income</t>
        </is>
      </c>
      <c r="C8" s="14" t="inlineStr">
        <is>
          <t>Activities</t>
        </is>
      </c>
      <c r="F8" s="26" t="n">
        <v>7</v>
      </c>
      <c r="G8" s="14" t="inlineStr">
        <is>
          <t>จัดดอกไม้</t>
        </is>
      </c>
    </row>
    <row r="9">
      <c r="C9" s="16" t="inlineStr">
        <is>
          <t>Other</t>
        </is>
      </c>
      <c r="F9" s="29" t="n">
        <v>8</v>
      </c>
      <c r="G9" s="16" t="inlineStr">
        <is>
          <t>ปักผ้า, Crochet, knitting</t>
        </is>
      </c>
    </row>
    <row r="10">
      <c r="F10" s="26" t="n">
        <v>9</v>
      </c>
      <c r="G10" s="14" t="inlineStr">
        <is>
          <t>personal color</t>
        </is>
      </c>
    </row>
    <row r="11">
      <c r="F11" s="29" t="n">
        <v>10</v>
      </c>
      <c r="G11" s="16" t="inlineStr">
        <is>
          <t>ยูริทมี</t>
        </is>
      </c>
    </row>
    <row r="12">
      <c r="F12" s="26" t="n">
        <v>11</v>
      </c>
      <c r="G12" s="14" t="inlineStr">
        <is>
          <t>Enneagram Board Game นพลักษณ์</t>
        </is>
      </c>
    </row>
    <row r="13">
      <c r="F13" s="29" t="n">
        <v>12</v>
      </c>
      <c r="G13" s="16" t="inlineStr">
        <is>
          <t>สติมา Tea (ชาภาวนา)</t>
        </is>
      </c>
    </row>
    <row r="14">
      <c r="F14" s="26" t="n">
        <v>13</v>
      </c>
      <c r="G14" s="14" t="inlineStr">
        <is>
          <t>เย็บตุ๊กตา</t>
        </is>
      </c>
    </row>
    <row r="15">
      <c r="F15" s="29" t="n">
        <v>14</v>
      </c>
      <c r="G15" s="16" t="inlineStr">
        <is>
          <t>Crafting music of life (together)</t>
        </is>
      </c>
    </row>
    <row r="16">
      <c r="F16" s="26" t="n">
        <v>15</v>
      </c>
      <c r="G16" s="14" t="inlineStr">
        <is>
          <t>Beeswax wrap</t>
        </is>
      </c>
    </row>
    <row r="17">
      <c r="F17" s="29" t="n">
        <v>16</v>
      </c>
      <c r="G17" s="16" t="inlineStr">
        <is>
          <t>ถักสร้อยหิน</t>
        </is>
      </c>
    </row>
    <row r="18">
      <c r="F18" s="26" t="n">
        <v>17</v>
      </c>
      <c r="G18" s="14" t="inlineStr">
        <is>
          <t>Wet felting</t>
        </is>
      </c>
    </row>
    <row r="19">
      <c r="F19" s="29" t="n">
        <v>18</v>
      </c>
      <c r="G19" s="16" t="inlineStr">
        <is>
          <t>Singing circle &amp; community music gathering by Sound &amp; Soul</t>
        </is>
      </c>
    </row>
    <row r="20">
      <c r="F20" s="26" t="n">
        <v>19</v>
      </c>
      <c r="G20" s="14" t="inlineStr">
        <is>
          <t>กิจกรรม give back to nature/community</t>
        </is>
      </c>
    </row>
  </sheetData>
  <mergeCells count="1">
    <mergeCell ref="I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4F"/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42" customWidth="1" min="5" max="5"/>
    <col width="14" customWidth="1" min="6" max="6"/>
    <col width="14" customWidth="1" min="7" max="7"/>
    <col width="18" customWidth="1" min="8" max="8"/>
    <col width="28" customWidth="1" min="9" max="9"/>
  </cols>
  <sheetData>
    <row r="1" ht="28" customHeight="1">
      <c r="A1" s="39" t="inlineStr">
        <is>
          <t>รายงานรายรับ — งาน Gift โรงเรียนไตรพัฒน์</t>
        </is>
      </c>
    </row>
    <row r="2">
      <c r="A2" s="2" t="inlineStr">
        <is>
          <t>ข้อมูลตัวอย่างเรียงรหัสล่าสุดขึ้นก่อน  คลิก 📄 เพื่อเปิดสลิป  |  ใน Google Sheets รันเมนูสร้างชีตรายงานเพื่อดึงข้อมูลสด</t>
        </is>
      </c>
    </row>
    <row r="4">
      <c r="A4" s="13" t="inlineStr">
        <is>
          <t>Income ID</t>
        </is>
      </c>
      <c r="B4" s="13" t="inlineStr">
        <is>
          <t>Date</t>
        </is>
      </c>
      <c r="C4" s="13" t="inlineStr">
        <is>
          <t>Income Source</t>
        </is>
      </c>
      <c r="D4" s="13" t="inlineStr">
        <is>
          <t>Workshop Offerings</t>
        </is>
      </c>
      <c r="E4" s="13" t="inlineStr">
        <is>
          <t>Description</t>
        </is>
      </c>
      <c r="F4" s="13" t="inlineStr">
        <is>
          <t>Amount</t>
        </is>
      </c>
      <c r="G4" s="13" t="inlineStr">
        <is>
          <t>Evidence URL</t>
        </is>
      </c>
      <c r="H4" s="13" t="inlineStr">
        <is>
          <t>Recorded By</t>
        </is>
      </c>
      <c r="I4" s="13" t="inlineStr">
        <is>
          <t>Remark</t>
        </is>
      </c>
    </row>
    <row r="5">
      <c r="A5" s="28" t="inlineStr">
        <is>
          <t>INC-0009</t>
        </is>
      </c>
      <c r="B5" s="22" t="n">
        <v>46252</v>
      </c>
      <c r="C5" s="16" t="inlineStr">
        <is>
          <t>Workshop Revenue</t>
        </is>
      </c>
      <c r="D5" s="29" t="n">
        <v>12</v>
      </c>
      <c r="E5" s="16" t="inlineStr">
        <is>
          <t>รายได้จาก Workshop สติมา Tea (ชาภาวนา)</t>
        </is>
      </c>
      <c r="F5" s="17" t="n">
        <v>2200</v>
      </c>
      <c r="G5" s="40" t="inlineStr">
        <is>
          <t>📄</t>
        </is>
      </c>
      <c r="H5" s="16" t="inlineStr">
        <is>
          <t>คุณณัฐชา</t>
        </is>
      </c>
      <c r="I5" s="16" t="inlineStr"/>
    </row>
    <row r="6">
      <c r="A6" s="25" t="inlineStr">
        <is>
          <t>INC-0008</t>
        </is>
      </c>
      <c r="B6" s="23" t="n">
        <v>46251</v>
      </c>
      <c r="C6" s="14" t="inlineStr">
        <is>
          <t>Workshop Revenue</t>
        </is>
      </c>
      <c r="D6" s="26" t="n">
        <v>6</v>
      </c>
      <c r="E6" s="14" t="inlineStr">
        <is>
          <t>รายได้จาก Workshop เย็บสมุด</t>
        </is>
      </c>
      <c r="F6" s="15" t="n">
        <v>1800</v>
      </c>
      <c r="G6" s="41" t="inlineStr">
        <is>
          <t>📄</t>
        </is>
      </c>
      <c r="H6" s="14" t="inlineStr">
        <is>
          <t>คุณศิริพร</t>
        </is>
      </c>
      <c r="I6" s="14" t="inlineStr"/>
    </row>
    <row r="7">
      <c r="A7" s="28" t="inlineStr">
        <is>
          <t>INC-0007</t>
        </is>
      </c>
      <c r="B7" s="22" t="n">
        <v>46250</v>
      </c>
      <c r="C7" s="16" t="inlineStr">
        <is>
          <t>Shop Revenue</t>
        </is>
      </c>
      <c r="D7" s="29" t="n"/>
      <c r="E7" s="16" t="inlineStr">
        <is>
          <t>รายได้จากบูธร้านค้างาน Gift</t>
        </is>
      </c>
      <c r="F7" s="17" t="n">
        <v>3500</v>
      </c>
      <c r="G7" s="40" t="inlineStr">
        <is>
          <t>📄</t>
        </is>
      </c>
      <c r="H7" s="16" t="inlineStr">
        <is>
          <t>คุณศิริพร</t>
        </is>
      </c>
      <c r="I7" s="16" t="inlineStr">
        <is>
          <t>ยอดขายของที่ระลึกและสินค้าบูธ Shop Team</t>
        </is>
      </c>
    </row>
    <row r="8">
      <c r="A8" s="25" t="inlineStr">
        <is>
          <t>INC-0006</t>
        </is>
      </c>
      <c r="B8" s="23" t="n">
        <v>46249</v>
      </c>
      <c r="C8" s="14" t="inlineStr">
        <is>
          <t>Other Income</t>
        </is>
      </c>
      <c r="D8" s="26" t="n"/>
      <c r="E8" s="14" t="inlineStr">
        <is>
          <t>รายได้อื่น ๆ จากบูธขายน้ำ</t>
        </is>
      </c>
      <c r="F8" s="15" t="n">
        <v>1200</v>
      </c>
      <c r="G8" s="41" t="inlineStr">
        <is>
          <t>📄</t>
        </is>
      </c>
      <c r="H8" s="14" t="inlineStr">
        <is>
          <t>คุณศิริพร</t>
        </is>
      </c>
      <c r="I8" s="14" t="inlineStr"/>
    </row>
    <row r="9">
      <c r="A9" s="28" t="inlineStr">
        <is>
          <t>INC-0005</t>
        </is>
      </c>
      <c r="B9" s="22" t="n">
        <v>46246</v>
      </c>
      <c r="C9" s="16" t="inlineStr">
        <is>
          <t>Auction Proceeds</t>
        </is>
      </c>
      <c r="D9" s="29" t="n"/>
      <c r="E9" s="16" t="inlineStr">
        <is>
          <t>รายได้จากการประมูลของที่ระลึก</t>
        </is>
      </c>
      <c r="F9" s="17" t="n">
        <v>6000</v>
      </c>
      <c r="G9" s="40" t="inlineStr">
        <is>
          <t>📄</t>
        </is>
      </c>
      <c r="H9" s="16" t="inlineStr">
        <is>
          <t>คุณศิริพร</t>
        </is>
      </c>
      <c r="I9" s="16" t="inlineStr"/>
    </row>
    <row r="10">
      <c r="A10" s="25" t="inlineStr">
        <is>
          <t>INC-0004</t>
        </is>
      </c>
      <c r="B10" s="23" t="n">
        <v>46244</v>
      </c>
      <c r="C10" s="14" t="inlineStr">
        <is>
          <t>Workshop Revenue</t>
        </is>
      </c>
      <c r="D10" s="26" t="n">
        <v>1</v>
      </c>
      <c r="E10" s="14" t="inlineStr">
        <is>
          <t>รายได้จาก Workshop งานไม้</t>
        </is>
      </c>
      <c r="F10" s="15" t="n">
        <v>4500</v>
      </c>
      <c r="G10" s="41" t="inlineStr">
        <is>
          <t>📄</t>
        </is>
      </c>
      <c r="H10" s="14" t="inlineStr">
        <is>
          <t>คุณศิริพร</t>
        </is>
      </c>
      <c r="I10" s="14" t="inlineStr"/>
    </row>
    <row r="11">
      <c r="A11" s="28" t="inlineStr">
        <is>
          <t>INC-0003</t>
        </is>
      </c>
      <c r="B11" s="22" t="n">
        <v>46239</v>
      </c>
      <c r="C11" s="16" t="inlineStr">
        <is>
          <t>Donations</t>
        </is>
      </c>
      <c r="D11" s="29" t="n"/>
      <c r="E11" s="16" t="inlineStr">
        <is>
          <t>เงินบริจาคจากผู้ปกครอง</t>
        </is>
      </c>
      <c r="F11" s="17" t="n">
        <v>3000</v>
      </c>
      <c r="G11" s="40" t="inlineStr">
        <is>
          <t>📄</t>
        </is>
      </c>
      <c r="H11" s="16" t="inlineStr">
        <is>
          <t>คุณศิริพร</t>
        </is>
      </c>
      <c r="I11" s="16" t="inlineStr"/>
    </row>
    <row r="12">
      <c r="A12" s="25" t="inlineStr">
        <is>
          <t>INC-0002</t>
        </is>
      </c>
      <c r="B12" s="23" t="n">
        <v>46237</v>
      </c>
      <c r="C12" s="14" t="inlineStr">
        <is>
          <t>Sponsorship</t>
        </is>
      </c>
      <c r="D12" s="26" t="n"/>
      <c r="E12" s="14" t="inlineStr">
        <is>
          <t>สปอนเซอร์งาน Gift จากร้านชุมชน ABC</t>
        </is>
      </c>
      <c r="F12" s="15" t="n">
        <v>8000</v>
      </c>
      <c r="G12" s="41" t="inlineStr">
        <is>
          <t>📄</t>
        </is>
      </c>
      <c r="H12" s="14" t="inlineStr">
        <is>
          <t>คุณศิริพร</t>
        </is>
      </c>
      <c r="I12" s="14" t="inlineStr"/>
    </row>
    <row r="13">
      <c r="A13" s="28" t="inlineStr">
        <is>
          <t>INC-0001</t>
        </is>
      </c>
      <c r="B13" s="22" t="n">
        <v>46235</v>
      </c>
      <c r="C13" s="16" t="inlineStr">
        <is>
          <t>PTA Contribution</t>
        </is>
      </c>
      <c r="D13" s="29" t="n"/>
      <c r="E13" s="16" t="inlineStr">
        <is>
          <t>เงินสนับสนุน PTA โรงเรียนไตรพัฒน์ สำหรับงาน Gift</t>
        </is>
      </c>
      <c r="F13" s="17" t="n">
        <v>25000</v>
      </c>
      <c r="G13" s="40" t="inlineStr">
        <is>
          <t>📄</t>
        </is>
      </c>
      <c r="H13" s="16" t="inlineStr">
        <is>
          <t>คุณศิริพร</t>
        </is>
      </c>
      <c r="I13" s="16" t="inlineStr">
        <is>
          <t>เงินกองกลางตั้งต้นจาก PTA</t>
        </is>
      </c>
    </row>
  </sheetData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5C38"/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32" customWidth="1" min="5" max="5"/>
    <col width="12" customWidth="1" min="6" max="6"/>
    <col width="18" customWidth="1" min="7" max="7"/>
    <col width="16" customWidth="1" min="8" max="8"/>
    <col width="14" customWidth="1" min="9" max="9"/>
    <col width="16" customWidth="1" min="10" max="10"/>
    <col width="28" customWidth="1" min="11" max="11"/>
  </cols>
  <sheetData>
    <row r="1" ht="28" customHeight="1">
      <c r="A1" s="39" t="inlineStr">
        <is>
          <t>รายงานรายจ่าย — งาน Gift โรงเรียนไตรพัฒน์</t>
        </is>
      </c>
    </row>
    <row r="2">
      <c r="A2" s="2" t="inlineStr">
        <is>
          <t>ข้อมูลตัวอย่างเรียงรหัสล่าสุดขึ้นก่อน  คลิก 📄 เพื่อเปิดสลิป  |  ใน Google Sheets รันเมนูสร้างชีตรายงานเพื่อดึงข้อมูลสด</t>
        </is>
      </c>
    </row>
    <row r="4">
      <c r="A4" s="13" t="inlineStr">
        <is>
          <t>Payment ID</t>
        </is>
      </c>
      <c r="B4" s="13" t="inlineStr">
        <is>
          <t>Payment Date</t>
        </is>
      </c>
      <c r="C4" s="13" t="inlineStr">
        <is>
          <t>Team</t>
        </is>
      </c>
      <c r="D4" s="13" t="inlineStr">
        <is>
          <t>Expense Category</t>
        </is>
      </c>
      <c r="E4" s="13" t="inlineStr">
        <is>
          <t>Description</t>
        </is>
      </c>
      <c r="F4" s="13" t="inlineStr">
        <is>
          <t>Amount</t>
        </is>
      </c>
      <c r="G4" s="13" t="inlineStr">
        <is>
          <t>Recipient / Payee</t>
        </is>
      </c>
      <c r="H4" s="13" t="inlineStr">
        <is>
          <t>Payment Method</t>
        </is>
      </c>
      <c r="I4" s="13" t="inlineStr">
        <is>
          <t>Evidence URL</t>
        </is>
      </c>
      <c r="J4" s="13" t="inlineStr">
        <is>
          <t>Recorded By</t>
        </is>
      </c>
      <c r="K4" s="13" t="inlineStr">
        <is>
          <t>Remark</t>
        </is>
      </c>
    </row>
    <row r="5">
      <c r="A5" s="28" t="inlineStr">
        <is>
          <t>PAY-0012</t>
        </is>
      </c>
      <c r="B5" s="22" t="n">
        <v>46250</v>
      </c>
      <c r="C5" s="16" t="inlineStr">
        <is>
          <t>Public Relations Team</t>
        </is>
      </c>
      <c r="D5" s="16" t="inlineStr">
        <is>
          <t>Marketing</t>
        </is>
      </c>
      <c r="E5" s="16" t="inlineStr">
        <is>
          <t>ค่าออกแบบสื่อออนไลน์</t>
        </is>
      </c>
      <c r="F5" s="17" t="n">
        <v>500</v>
      </c>
      <c r="G5" s="16" t="inlineStr">
        <is>
          <t>นาย D Designer</t>
        </is>
      </c>
      <c r="H5" s="16" t="inlineStr">
        <is>
          <t>PromptPay</t>
        </is>
      </c>
      <c r="I5" s="40" t="inlineStr">
        <is>
          <t>📄</t>
        </is>
      </c>
      <c r="J5" s="16" t="inlineStr">
        <is>
          <t>คุณศิริพร</t>
        </is>
      </c>
      <c r="K5" s="16" t="inlineStr"/>
    </row>
    <row r="6">
      <c r="A6" s="25" t="inlineStr">
        <is>
          <t>PAY-0011</t>
        </is>
      </c>
      <c r="B6" s="23" t="n">
        <v>46249</v>
      </c>
      <c r="C6" s="14" t="inlineStr">
        <is>
          <t>Shop Team</t>
        </is>
      </c>
      <c r="D6" s="14" t="inlineStr">
        <is>
          <t>Other</t>
        </is>
      </c>
      <c r="E6" s="14" t="inlineStr">
        <is>
          <t>ถุงกระดาษสำหรับขายของ</t>
        </is>
      </c>
      <c r="F6" s="15" t="n">
        <v>700</v>
      </c>
      <c r="G6" s="14" t="inlineStr">
        <is>
          <t>ร้าน Packaging</t>
        </is>
      </c>
      <c r="H6" s="14" t="inlineStr">
        <is>
          <t>Transfer</t>
        </is>
      </c>
      <c r="I6" s="41" t="inlineStr">
        <is>
          <t>📄</t>
        </is>
      </c>
      <c r="J6" s="14" t="inlineStr">
        <is>
          <t>คุณศิริพร</t>
        </is>
      </c>
      <c r="K6" s="14" t="inlineStr"/>
    </row>
    <row r="7">
      <c r="A7" s="28" t="inlineStr">
        <is>
          <t>PAY-0010</t>
        </is>
      </c>
      <c r="B7" s="22" t="n">
        <v>46248</v>
      </c>
      <c r="C7" s="16" t="inlineStr">
        <is>
          <t>Activity Team</t>
        </is>
      </c>
      <c r="D7" s="16" t="inlineStr">
        <is>
          <t>Other</t>
        </is>
      </c>
      <c r="E7" s="16" t="inlineStr">
        <is>
          <t>ค่าขนส่งอุปกรณ์กิจกรรม</t>
        </is>
      </c>
      <c r="F7" s="17" t="n">
        <v>600</v>
      </c>
      <c r="G7" s="16" t="inlineStr">
        <is>
          <t>นาย C</t>
        </is>
      </c>
      <c r="H7" s="16" t="inlineStr">
        <is>
          <t>Cash</t>
        </is>
      </c>
      <c r="I7" s="40" t="inlineStr">
        <is>
          <t>📄</t>
        </is>
      </c>
      <c r="J7" s="16" t="inlineStr">
        <is>
          <t>คุณศิริพร</t>
        </is>
      </c>
      <c r="K7" s="16" t="inlineStr">
        <is>
          <t>จ่ายสด ค่าขนส่งในวันจัดเตรียมงาน</t>
        </is>
      </c>
    </row>
    <row r="8">
      <c r="A8" s="25" t="inlineStr">
        <is>
          <t>PAY-0009</t>
        </is>
      </c>
      <c r="B8" s="23" t="n">
        <v>46247</v>
      </c>
      <c r="C8" s="14" t="inlineStr">
        <is>
          <t>Gift Team</t>
        </is>
      </c>
      <c r="D8" s="14" t="inlineStr">
        <is>
          <t>Gifts</t>
        </is>
      </c>
      <c r="E8" s="14" t="inlineStr">
        <is>
          <t>ของที่ระลึกผู้บริจาค</t>
        </is>
      </c>
      <c r="F8" s="15" t="n">
        <v>800</v>
      </c>
      <c r="G8" s="14" t="inlineStr">
        <is>
          <t>นางสาว B</t>
        </is>
      </c>
      <c r="H8" s="14" t="inlineStr">
        <is>
          <t>Transfer</t>
        </is>
      </c>
      <c r="I8" s="41" t="inlineStr">
        <is>
          <t>📄</t>
        </is>
      </c>
      <c r="J8" s="14" t="inlineStr">
        <is>
          <t>คุณศิริพร</t>
        </is>
      </c>
      <c r="K8" s="14" t="inlineStr"/>
    </row>
    <row r="9">
      <c r="A9" s="28" t="inlineStr">
        <is>
          <t>PAY-0008</t>
        </is>
      </c>
      <c r="B9" s="22" t="n">
        <v>46246</v>
      </c>
      <c r="C9" s="16" t="inlineStr">
        <is>
          <t>Workshop Team</t>
        </is>
      </c>
      <c r="D9" s="16" t="inlineStr">
        <is>
          <t>Materials</t>
        </is>
      </c>
      <c r="E9" s="16" t="inlineStr">
        <is>
          <t>วัสดุเพิ่มเติม Workshop</t>
        </is>
      </c>
      <c r="F9" s="17" t="n">
        <v>900</v>
      </c>
      <c r="G9" s="16" t="inlineStr">
        <is>
          <t>ร้าน ABC Craft</t>
        </is>
      </c>
      <c r="H9" s="16" t="inlineStr">
        <is>
          <t>Transfer</t>
        </is>
      </c>
      <c r="I9" s="40" t="inlineStr">
        <is>
          <t>📄</t>
        </is>
      </c>
      <c r="J9" s="16" t="inlineStr">
        <is>
          <t>คุณศิริพร</t>
        </is>
      </c>
      <c r="K9" s="16" t="inlineStr"/>
    </row>
    <row r="10">
      <c r="A10" s="25" t="inlineStr">
        <is>
          <t>PAY-0007</t>
        </is>
      </c>
      <c r="B10" s="23" t="n">
        <v>46245</v>
      </c>
      <c r="C10" s="14" t="inlineStr">
        <is>
          <t>Venue &amp; Safety Team</t>
        </is>
      </c>
      <c r="D10" s="14" t="inlineStr">
        <is>
          <t>Safety</t>
        </is>
      </c>
      <c r="E10" s="14" t="inlineStr">
        <is>
          <t>อุปกรณ์ความปลอดภัย</t>
        </is>
      </c>
      <c r="F10" s="15" t="n">
        <v>1200</v>
      </c>
      <c r="G10" s="14" t="inlineStr">
        <is>
          <t>ร้าน Safety Plus</t>
        </is>
      </c>
      <c r="H10" s="14" t="inlineStr">
        <is>
          <t>Transfer</t>
        </is>
      </c>
      <c r="I10" s="41" t="inlineStr">
        <is>
          <t>📄</t>
        </is>
      </c>
      <c r="J10" s="14" t="inlineStr">
        <is>
          <t>คุณศิริพร</t>
        </is>
      </c>
      <c r="K10" s="14" t="inlineStr"/>
    </row>
    <row r="11">
      <c r="A11" s="28" t="inlineStr">
        <is>
          <t>PAY-0006</t>
        </is>
      </c>
      <c r="B11" s="22" t="n">
        <v>46244</v>
      </c>
      <c r="C11" s="16" t="inlineStr">
        <is>
          <t>Activity Team</t>
        </is>
      </c>
      <c r="D11" s="16" t="inlineStr">
        <is>
          <t>Activities</t>
        </is>
      </c>
      <c r="E11" s="16" t="inlineStr">
        <is>
          <t>ค่าอุปกรณ์กิจกรรมเด็ก</t>
        </is>
      </c>
      <c r="F11" s="17" t="n">
        <v>2800</v>
      </c>
      <c r="G11" s="16" t="inlineStr">
        <is>
          <t>ร้าน JKL</t>
        </is>
      </c>
      <c r="H11" s="16" t="inlineStr">
        <is>
          <t>Transfer</t>
        </is>
      </c>
      <c r="I11" s="40" t="inlineStr">
        <is>
          <t>📄</t>
        </is>
      </c>
      <c r="J11" s="16" t="inlineStr">
        <is>
          <t>คุณศิริพร</t>
        </is>
      </c>
      <c r="K11" s="16" t="inlineStr"/>
    </row>
    <row r="12">
      <c r="A12" s="25" t="inlineStr">
        <is>
          <t>PAY-0005</t>
        </is>
      </c>
      <c r="B12" s="23" t="n">
        <v>46243</v>
      </c>
      <c r="C12" s="14" t="inlineStr">
        <is>
          <t>Public Relations Team</t>
        </is>
      </c>
      <c r="D12" s="14" t="inlineStr">
        <is>
          <t>Marketing</t>
        </is>
      </c>
      <c r="E12" s="14" t="inlineStr">
        <is>
          <t>พิมพ์โปสเตอร์และใบปลิว</t>
        </is>
      </c>
      <c r="F12" s="15" t="n">
        <v>1500</v>
      </c>
      <c r="G12" s="14" t="inlineStr">
        <is>
          <t>โรงพิมพ์ GHI</t>
        </is>
      </c>
      <c r="H12" s="14" t="inlineStr">
        <is>
          <t>Transfer</t>
        </is>
      </c>
      <c r="I12" s="41" t="inlineStr">
        <is>
          <t>📄</t>
        </is>
      </c>
      <c r="J12" s="14" t="inlineStr">
        <is>
          <t>คุณศิริพร</t>
        </is>
      </c>
      <c r="K12" s="14" t="inlineStr"/>
    </row>
    <row r="13">
      <c r="A13" s="28" t="inlineStr">
        <is>
          <t>PAY-0004</t>
        </is>
      </c>
      <c r="B13" s="22" t="n">
        <v>46242</v>
      </c>
      <c r="C13" s="16" t="inlineStr">
        <is>
          <t>Shop Team</t>
        </is>
      </c>
      <c r="D13" s="16" t="inlineStr">
        <is>
          <t>Materials</t>
        </is>
      </c>
      <c r="E13" s="16" t="inlineStr">
        <is>
          <t>ซื้อสินค้าสำหรับบูธร้านค้า</t>
        </is>
      </c>
      <c r="F13" s="17" t="n">
        <v>3200</v>
      </c>
      <c r="G13" s="16" t="inlineStr">
        <is>
          <t>ร้าน DEF</t>
        </is>
      </c>
      <c r="H13" s="16" t="inlineStr">
        <is>
          <t>Transfer</t>
        </is>
      </c>
      <c r="I13" s="40" t="inlineStr">
        <is>
          <t>📄</t>
        </is>
      </c>
      <c r="J13" s="16" t="inlineStr">
        <is>
          <t>คุณศิริพร</t>
        </is>
      </c>
      <c r="K13" s="16" t="inlineStr"/>
    </row>
    <row r="14">
      <c r="A14" s="25" t="inlineStr">
        <is>
          <t>PAY-0003</t>
        </is>
      </c>
      <c r="B14" s="23" t="n">
        <v>46241</v>
      </c>
      <c r="C14" s="14" t="inlineStr">
        <is>
          <t>Venue &amp; Safety Team</t>
        </is>
      </c>
      <c r="D14" s="14" t="inlineStr">
        <is>
          <t>Equipment</t>
        </is>
      </c>
      <c r="E14" s="14" t="inlineStr">
        <is>
          <t>เช่าเต็นท์สถานที่จัดงาน</t>
        </is>
      </c>
      <c r="F14" s="15" t="n">
        <v>8000</v>
      </c>
      <c r="G14" s="14" t="inlineStr">
        <is>
          <t>ร้าน XYZ Tent</t>
        </is>
      </c>
      <c r="H14" s="14" t="inlineStr">
        <is>
          <t>Transfer</t>
        </is>
      </c>
      <c r="I14" s="41" t="inlineStr">
        <is>
          <t>📄</t>
        </is>
      </c>
      <c r="J14" s="14" t="inlineStr">
        <is>
          <t>คุณศิริพร</t>
        </is>
      </c>
      <c r="K14" s="14" t="inlineStr">
        <is>
          <t>ค่าเช่าเต็นท์หลักของงาน</t>
        </is>
      </c>
    </row>
    <row r="15">
      <c r="A15" s="28" t="inlineStr">
        <is>
          <t>PAY-0002</t>
        </is>
      </c>
      <c r="B15" s="22" t="n">
        <v>46240</v>
      </c>
      <c r="C15" s="16" t="inlineStr">
        <is>
          <t>Workshop Team</t>
        </is>
      </c>
      <c r="D15" s="16" t="inlineStr">
        <is>
          <t>Materials</t>
        </is>
      </c>
      <c r="E15" s="16" t="inlineStr">
        <is>
          <t>วัสดุงานฝีมือ Workshop</t>
        </is>
      </c>
      <c r="F15" s="17" t="n">
        <v>1800</v>
      </c>
      <c r="G15" s="16" t="inlineStr">
        <is>
          <t>ร้าน ABC Craft</t>
        </is>
      </c>
      <c r="H15" s="16" t="inlineStr">
        <is>
          <t>Transfer</t>
        </is>
      </c>
      <c r="I15" s="40" t="inlineStr">
        <is>
          <t>📄</t>
        </is>
      </c>
      <c r="J15" s="16" t="inlineStr">
        <is>
          <t>คุณศิริพร</t>
        </is>
      </c>
      <c r="K15" s="16" t="inlineStr"/>
    </row>
    <row r="16">
      <c r="A16" s="25" t="inlineStr">
        <is>
          <t>PAY-0001</t>
        </is>
      </c>
      <c r="B16" s="23" t="n">
        <v>46239</v>
      </c>
      <c r="C16" s="14" t="inlineStr">
        <is>
          <t>Gift Team</t>
        </is>
      </c>
      <c r="D16" s="14" t="inlineStr">
        <is>
          <t>Gifts</t>
        </is>
      </c>
      <c r="E16" s="14" t="inlineStr">
        <is>
          <t>ซื้อของรางวัลงาน Gift</t>
        </is>
      </c>
      <c r="F16" s="15" t="n">
        <v>2500</v>
      </c>
      <c r="G16" s="14" t="inlineStr">
        <is>
          <t>นาย A</t>
        </is>
      </c>
      <c r="H16" s="14" t="inlineStr">
        <is>
          <t>Transfer</t>
        </is>
      </c>
      <c r="I16" s="41" t="inlineStr">
        <is>
          <t>📄</t>
        </is>
      </c>
      <c r="J16" s="14" t="inlineStr">
        <is>
          <t>คุณศิริพร</t>
        </is>
      </c>
      <c r="K16" s="14" t="inlineStr"/>
    </row>
  </sheetData>
  <mergeCells count="2">
    <mergeCell ref="A2:K2"/>
    <mergeCell ref="A1:K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A35A"/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8" customWidth="1" min="4" max="4"/>
    <col width="12" customWidth="1" min="5" max="5"/>
    <col width="16" customWidth="1" min="6" max="6"/>
    <col width="36" customWidth="1" min="7" max="7"/>
    <col width="48" customWidth="1" min="8" max="8"/>
    <col width="16" customWidth="1" min="9" max="9"/>
    <col width="36" customWidth="1" min="10" max="10"/>
  </cols>
  <sheetData>
    <row r="1" ht="24" customHeight="1">
      <c r="A1" s="13" t="inlineStr">
        <is>
          <t>Refund ID</t>
        </is>
      </c>
      <c r="B1" s="13" t="inlineStr">
        <is>
          <t>Refund Date</t>
        </is>
      </c>
      <c r="C1" s="13" t="inlineStr">
        <is>
          <t>Team</t>
        </is>
      </c>
      <c r="D1" s="13" t="inlineStr">
        <is>
          <t>Related Payment ID</t>
        </is>
      </c>
      <c r="E1" s="13" t="inlineStr">
        <is>
          <t>Amount</t>
        </is>
      </c>
      <c r="F1" s="13" t="inlineStr">
        <is>
          <t>Refund Method</t>
        </is>
      </c>
      <c r="G1" s="13" t="inlineStr">
        <is>
          <t>Description</t>
        </is>
      </c>
      <c r="H1" s="13" t="inlineStr">
        <is>
          <t>Evidence URL</t>
        </is>
      </c>
      <c r="I1" s="13" t="inlineStr">
        <is>
          <t>Recorded By</t>
        </is>
      </c>
      <c r="J1" s="13" t="inlineStr">
        <is>
          <t>Remark</t>
        </is>
      </c>
    </row>
    <row r="2">
      <c r="A2" s="25" t="inlineStr">
        <is>
          <t>REF-0001</t>
        </is>
      </c>
      <c r="B2" s="23" t="n">
        <v>46254</v>
      </c>
      <c r="C2" s="14" t="inlineStr">
        <is>
          <t>Workshop Team</t>
        </is>
      </c>
      <c r="D2" s="25" t="inlineStr">
        <is>
          <t>PAY-0002</t>
        </is>
      </c>
      <c r="E2" s="15" t="n">
        <v>300</v>
      </c>
      <c r="F2" s="25" t="inlineStr">
        <is>
          <t>Transfer</t>
        </is>
      </c>
      <c r="G2" s="14" t="inlineStr">
        <is>
          <t>คืนเงินเหลือค่าวัสดุงานฝีมือ Workshop</t>
        </is>
      </c>
      <c r="H2" s="27" t="inlineStr">
        <is>
          <t>https://drive.google.com/file/d/mock-ref-0001/view</t>
        </is>
      </c>
      <c r="I2" s="14" t="inlineStr">
        <is>
          <t>คุณศิริพร</t>
        </is>
      </c>
      <c r="J2" s="14" t="inlineStr">
        <is>
          <t>โอนเดิม 1,800 ใช้จริง 1,500</t>
        </is>
      </c>
    </row>
    <row r="3">
      <c r="A3" s="28" t="inlineStr">
        <is>
          <t>REF-0002</t>
        </is>
      </c>
      <c r="B3" s="22" t="n">
        <v>46255</v>
      </c>
      <c r="C3" s="16" t="inlineStr">
        <is>
          <t>Shop Team</t>
        </is>
      </c>
      <c r="D3" s="28" t="inlineStr">
        <is>
          <t>PAY-0004</t>
        </is>
      </c>
      <c r="E3" s="17" t="n">
        <v>400</v>
      </c>
      <c r="F3" s="28" t="inlineStr">
        <is>
          <t>Transfer</t>
        </is>
      </c>
      <c r="G3" s="16" t="inlineStr">
        <is>
          <t>คืนเงินเหลือค่าสินค้าบูธร้านค้า</t>
        </is>
      </c>
      <c r="H3" s="30" t="inlineStr">
        <is>
          <t>https://drive.google.com/file/d/mock-ref-0002/view</t>
        </is>
      </c>
      <c r="I3" s="16" t="inlineStr">
        <is>
          <t>คุณศิริพร</t>
        </is>
      </c>
      <c r="J3" s="16" t="inlineStr">
        <is>
          <t>โอนเดิม 3,200 ใช้จริง 2,800</t>
        </is>
      </c>
    </row>
    <row r="4">
      <c r="A4" s="25" t="inlineStr">
        <is>
          <t>REF-0003</t>
        </is>
      </c>
      <c r="B4" s="23" t="n">
        <v>46255</v>
      </c>
      <c r="C4" s="14" t="inlineStr">
        <is>
          <t>Public Relations Team</t>
        </is>
      </c>
      <c r="D4" s="25" t="inlineStr">
        <is>
          <t>PAY-0005</t>
        </is>
      </c>
      <c r="E4" s="15" t="n">
        <v>200</v>
      </c>
      <c r="F4" s="25" t="inlineStr">
        <is>
          <t>PromptPay</t>
        </is>
      </c>
      <c r="G4" s="14" t="inlineStr">
        <is>
          <t>คืนเงินเหลือค่าพิมพ์โปสเตอร์</t>
        </is>
      </c>
      <c r="H4" s="27" t="inlineStr">
        <is>
          <t>https://drive.google.com/file/d/mock-ref-0003/view</t>
        </is>
      </c>
      <c r="I4" s="14" t="inlineStr">
        <is>
          <t>คุณณัฐชา</t>
        </is>
      </c>
      <c r="J4" s="14" t="inlineStr">
        <is>
          <t>โอนเดิม 1,500 ใช้จริง 1,300</t>
        </is>
      </c>
    </row>
    <row r="5">
      <c r="A5" s="28" t="inlineStr">
        <is>
          <t>REF-0004</t>
        </is>
      </c>
      <c r="B5" s="22" t="n">
        <v>46256</v>
      </c>
      <c r="C5" s="16" t="inlineStr">
        <is>
          <t>Gift Team</t>
        </is>
      </c>
      <c r="D5" s="28" t="inlineStr">
        <is>
          <t>PAY-0009</t>
        </is>
      </c>
      <c r="E5" s="17" t="n">
        <v>150</v>
      </c>
      <c r="F5" s="28" t="inlineStr">
        <is>
          <t>Cash</t>
        </is>
      </c>
      <c r="G5" s="16" t="inlineStr">
        <is>
          <t>คืนเงินสดเหลือค่าของที่ระลึกผู้บริจาค</t>
        </is>
      </c>
      <c r="H5" s="16" t="inlineStr"/>
      <c r="I5" s="16" t="inlineStr">
        <is>
          <t>คุณศิริพร</t>
        </is>
      </c>
      <c r="J5" s="16" t="inlineStr">
        <is>
          <t>โอนเดิม 800 ใช้จริง 650 — ไม่ได้แนบสลิปเพราะรับเงินสด</t>
        </is>
      </c>
    </row>
    <row r="6">
      <c r="A6" s="25" t="inlineStr">
        <is>
          <t>REF-0005</t>
        </is>
      </c>
      <c r="B6" s="23" t="n">
        <v>46257</v>
      </c>
      <c r="C6" s="14" t="inlineStr">
        <is>
          <t>Activity Team</t>
        </is>
      </c>
      <c r="D6" s="25" t="inlineStr">
        <is>
          <t>PAY-0010</t>
        </is>
      </c>
      <c r="E6" s="15" t="n">
        <v>100</v>
      </c>
      <c r="F6" s="25" t="inlineStr">
        <is>
          <t>Cash</t>
        </is>
      </c>
      <c r="G6" s="14" t="inlineStr">
        <is>
          <t>คืนเงินสดเหลือค่าขนส่งอุปกรณ์กิจกรรม</t>
        </is>
      </c>
      <c r="H6" s="27" t="inlineStr">
        <is>
          <t>https://drive.google.com/file/d/mock-ref-0005/view</t>
        </is>
      </c>
      <c r="I6" s="14" t="inlineStr">
        <is>
          <t>คุณณัฐชา</t>
        </is>
      </c>
      <c r="J6" s="14" t="inlineStr">
        <is>
          <t>จ่ายสดเดิม 600 ใช้จริง 500</t>
        </is>
      </c>
    </row>
  </sheetData>
  <autoFilter ref="A1:J6"/>
  <dataValidations count="3">
    <dataValidation sqref="C2:C200" showDropDown="0" showInputMessage="0" showErrorMessage="0" allowBlank="1" type="list">
      <formula1>='05_Master_Data'!$B$2:$B$7</formula1>
    </dataValidation>
    <dataValidation sqref="F2:F200" showDropDown="0" showInputMessage="0" showErrorMessage="0" allowBlank="1" type="list">
      <formula1>='05_Master_Data'!$D$2:$D$5</formula1>
    </dataValidation>
    <dataValidation sqref="I2:I200" showDropDown="0" showInputMessage="0" showErrorMessage="0" allowBlank="1" type="list">
      <formula1>='05_Master_Data'!$E$2:$E$3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4A35A"/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2" customWidth="1" min="5" max="5"/>
    <col width="16" customWidth="1" min="6" max="6"/>
    <col width="32" customWidth="1" min="7" max="7"/>
    <col width="14" customWidth="1" min="8" max="8"/>
    <col width="16" customWidth="1" min="9" max="9"/>
    <col width="28" customWidth="1" min="10" max="10"/>
  </cols>
  <sheetData>
    <row r="1" ht="28" customHeight="1">
      <c r="A1" s="39" t="inlineStr">
        <is>
          <t>รายงานคืนเงิน — งาน Gift โรงเรียนไตรพัฒน์</t>
        </is>
      </c>
    </row>
    <row r="2">
      <c r="A2" s="2" t="inlineStr">
        <is>
          <t>ข้อมูลตัวอย่างเรียงรหัสล่าสุดขึ้นก่อน  คลิก 📄 เพื่อเปิดสลิป  |  ใน Google Sheets รันเมนูสร้างชีตรายงานเพื่อดึงข้อมูลสด</t>
        </is>
      </c>
    </row>
    <row r="4">
      <c r="A4" s="13" t="inlineStr">
        <is>
          <t>Refund ID</t>
        </is>
      </c>
      <c r="B4" s="13" t="inlineStr">
        <is>
          <t>Refund Date</t>
        </is>
      </c>
      <c r="C4" s="13" t="inlineStr">
        <is>
          <t>Team</t>
        </is>
      </c>
      <c r="D4" s="13" t="inlineStr">
        <is>
          <t>Related Payment ID</t>
        </is>
      </c>
      <c r="E4" s="13" t="inlineStr">
        <is>
          <t>Amount</t>
        </is>
      </c>
      <c r="F4" s="13" t="inlineStr">
        <is>
          <t>Refund Method</t>
        </is>
      </c>
      <c r="G4" s="13" t="inlineStr">
        <is>
          <t>Description</t>
        </is>
      </c>
      <c r="H4" s="13" t="inlineStr">
        <is>
          <t>Evidence URL</t>
        </is>
      </c>
      <c r="I4" s="13" t="inlineStr">
        <is>
          <t>Recorded By</t>
        </is>
      </c>
      <c r="J4" s="13" t="inlineStr">
        <is>
          <t>Remark</t>
        </is>
      </c>
    </row>
    <row r="5">
      <c r="A5" s="28" t="inlineStr">
        <is>
          <t>REF-0005</t>
        </is>
      </c>
      <c r="B5" s="22" t="n">
        <v>46257</v>
      </c>
      <c r="C5" s="16" t="inlineStr">
        <is>
          <t>Activity Team</t>
        </is>
      </c>
      <c r="D5" s="28" t="inlineStr">
        <is>
          <t>PAY-0010</t>
        </is>
      </c>
      <c r="E5" s="17" t="n">
        <v>100</v>
      </c>
      <c r="F5" s="16" t="inlineStr">
        <is>
          <t>Cash</t>
        </is>
      </c>
      <c r="G5" s="16" t="inlineStr">
        <is>
          <t>คืนเงินสดเหลือค่าขนส่งอุปกรณ์กิจกรรม</t>
        </is>
      </c>
      <c r="H5" s="40" t="inlineStr">
        <is>
          <t>📄</t>
        </is>
      </c>
      <c r="I5" s="16" t="inlineStr">
        <is>
          <t>คุณณัฐชา</t>
        </is>
      </c>
      <c r="J5" s="16" t="inlineStr">
        <is>
          <t>จ่ายสดเดิม 600 ใช้จริง 500</t>
        </is>
      </c>
    </row>
    <row r="6">
      <c r="A6" s="25" t="inlineStr">
        <is>
          <t>REF-0004</t>
        </is>
      </c>
      <c r="B6" s="23" t="n">
        <v>46256</v>
      </c>
      <c r="C6" s="14" t="inlineStr">
        <is>
          <t>Gift Team</t>
        </is>
      </c>
      <c r="D6" s="25" t="inlineStr">
        <is>
          <t>PAY-0009</t>
        </is>
      </c>
      <c r="E6" s="15" t="n">
        <v>150</v>
      </c>
      <c r="F6" s="14" t="inlineStr">
        <is>
          <t>Cash</t>
        </is>
      </c>
      <c r="G6" s="14" t="inlineStr">
        <is>
          <t>คืนเงินสดเหลือค่าของที่ระลึกผู้บริจาค</t>
        </is>
      </c>
      <c r="H6" s="25" t="inlineStr"/>
      <c r="I6" s="14" t="inlineStr">
        <is>
          <t>คุณศิริพร</t>
        </is>
      </c>
      <c r="J6" s="14" t="inlineStr">
        <is>
          <t>โอนเดิม 800 ใช้จริง 650 — ไม่ได้แนบสลิปเพราะรับเงินสด</t>
        </is>
      </c>
    </row>
    <row r="7">
      <c r="A7" s="28" t="inlineStr">
        <is>
          <t>REF-0003</t>
        </is>
      </c>
      <c r="B7" s="22" t="n">
        <v>46255</v>
      </c>
      <c r="C7" s="16" t="inlineStr">
        <is>
          <t>Public Relations Team</t>
        </is>
      </c>
      <c r="D7" s="28" t="inlineStr">
        <is>
          <t>PAY-0005</t>
        </is>
      </c>
      <c r="E7" s="17" t="n">
        <v>200</v>
      </c>
      <c r="F7" s="16" t="inlineStr">
        <is>
          <t>PromptPay</t>
        </is>
      </c>
      <c r="G7" s="16" t="inlineStr">
        <is>
          <t>คืนเงินเหลือค่าพิมพ์โปสเตอร์</t>
        </is>
      </c>
      <c r="H7" s="40" t="inlineStr">
        <is>
          <t>📄</t>
        </is>
      </c>
      <c r="I7" s="16" t="inlineStr">
        <is>
          <t>คุณณัฐชา</t>
        </is>
      </c>
      <c r="J7" s="16" t="inlineStr">
        <is>
          <t>โอนเดิม 1,500 ใช้จริง 1,300</t>
        </is>
      </c>
    </row>
    <row r="8">
      <c r="A8" s="25" t="inlineStr">
        <is>
          <t>REF-0002</t>
        </is>
      </c>
      <c r="B8" s="23" t="n">
        <v>46255</v>
      </c>
      <c r="C8" s="14" t="inlineStr">
        <is>
          <t>Shop Team</t>
        </is>
      </c>
      <c r="D8" s="25" t="inlineStr">
        <is>
          <t>PAY-0004</t>
        </is>
      </c>
      <c r="E8" s="15" t="n">
        <v>400</v>
      </c>
      <c r="F8" s="14" t="inlineStr">
        <is>
          <t>Transfer</t>
        </is>
      </c>
      <c r="G8" s="14" t="inlineStr">
        <is>
          <t>คืนเงินเหลือค่าสินค้าบูธร้านค้า</t>
        </is>
      </c>
      <c r="H8" s="41" t="inlineStr">
        <is>
          <t>📄</t>
        </is>
      </c>
      <c r="I8" s="14" t="inlineStr">
        <is>
          <t>คุณศิริพร</t>
        </is>
      </c>
      <c r="J8" s="14" t="inlineStr">
        <is>
          <t>โอนเดิม 3,200 ใช้จริง 2,800</t>
        </is>
      </c>
    </row>
    <row r="9">
      <c r="A9" s="28" t="inlineStr">
        <is>
          <t>REF-0001</t>
        </is>
      </c>
      <c r="B9" s="22" t="n">
        <v>46254</v>
      </c>
      <c r="C9" s="16" t="inlineStr">
        <is>
          <t>Workshop Team</t>
        </is>
      </c>
      <c r="D9" s="28" t="inlineStr">
        <is>
          <t>PAY-0002</t>
        </is>
      </c>
      <c r="E9" s="17" t="n">
        <v>300</v>
      </c>
      <c r="F9" s="16" t="inlineStr">
        <is>
          <t>Transfer</t>
        </is>
      </c>
      <c r="G9" s="16" t="inlineStr">
        <is>
          <t>คืนเงินเหลือค่าวัสดุงานฝีมือ Workshop</t>
        </is>
      </c>
      <c r="H9" s="40" t="inlineStr">
        <is>
          <t>📄</t>
        </is>
      </c>
      <c r="I9" s="16" t="inlineStr">
        <is>
          <t>คุณศิริพร</t>
        </is>
      </c>
      <c r="J9" s="16" t="inlineStr">
        <is>
          <t>โอนเดิม 1,800 ใช้จริง 1,500</t>
        </is>
      </c>
    </row>
  </sheetData>
  <mergeCells count="2">
    <mergeCell ref="A1:J1"/>
    <mergeCell ref="A2:J2"/>
  </mergeCells>
  <hyperlinks>
    <hyperlink xmlns:r="http://schemas.openxmlformats.org/officeDocument/2006/relationships" ref="H5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Team งาน Gift</dc:creator>
  <dc:title xmlns:dc="http://purl.org/dc/elements/1.1/">งาน Gift โรงเรียนไตรพัฒน์ — เงินกองกลาง</dc:title>
  <dc:description xmlns:dc="http://purl.org/dc/elements/1.1/">Central fund workbook for Gift event at Tripat Waldorf School. PTA Contribution mock = 25,000 THB.</dc:description>
  <dcterms:created xmlns:dcterms="http://purl.org/dc/terms/" xmlns:xsi="http://www.w3.org/2001/XMLSchema-instance" xsi:type="dcterms:W3CDTF">2026-08-24T09:27:55Z</dcterms:created>
  <dcterms:modified xmlns:dcterms="http://purl.org/dc/terms/" xmlns:xsi="http://www.w3.org/2001/XMLSchema-instance" xsi:type="dcterms:W3CDTF">2026-08-24T09:27:55Z</dcterms:modified>
</cp:coreProperties>
</file>